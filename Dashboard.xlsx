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Project_1\"/>
    </mc:Choice>
  </mc:AlternateContent>
  <xr:revisionPtr revIDLastSave="0" documentId="13_ncr:1_{E8DA320B-B4E9-48D0-A749-12E2304F7FAF}" xr6:coauthVersionLast="47" xr6:coauthVersionMax="47" xr10:uidLastSave="{00000000-0000-0000-0000-000000000000}"/>
  <bookViews>
    <workbookView xWindow="-15180" yWindow="-16320" windowWidth="29040" windowHeight="15720" activeTab="3" xr2:uid="{0D1F36FB-8A77-4A36-BBEC-8BE44F35EADE}"/>
  </bookViews>
  <sheets>
    <sheet name="Total Leads by Campaign" sheetId="3" r:id="rId1"/>
    <sheet name="Total Spend by Campain" sheetId="4" r:id="rId2"/>
    <sheet name="marketing_data" sheetId="2" r:id="rId3"/>
    <sheet name="Dashboard" sheetId="1" r:id="rId4"/>
  </sheets>
  <definedNames>
    <definedName name="_xlchart.v1.0" hidden="1">marketing_data!$C$1</definedName>
    <definedName name="_xlchart.v1.1" hidden="1">marketing_data!$C$2:$C$251</definedName>
    <definedName name="_xlchart.v1.10" hidden="1">marketing_data!$D$1</definedName>
    <definedName name="_xlchart.v1.11" hidden="1">marketing_data!$D$2:$D$251</definedName>
    <definedName name="_xlchart.v1.2" hidden="1">marketing_data!$C$1</definedName>
    <definedName name="_xlchart.v1.3" hidden="1">marketing_data!$C$2:$C$251</definedName>
    <definedName name="_xlchart.v1.4" hidden="1">marketing_data!$C$1</definedName>
    <definedName name="_xlchart.v1.5" hidden="1">marketing_data!$C$2:$C$251</definedName>
    <definedName name="_xlchart.v1.6" hidden="1">marketing_data!$D$1</definedName>
    <definedName name="_xlchart.v1.7" hidden="1">marketing_data!$D$2:$D$251</definedName>
    <definedName name="_xlchart.v1.8" hidden="1">marketing_data!$C$1</definedName>
    <definedName name="_xlchart.v1.9" hidden="1">marketing_data!$C$2:$C$251</definedName>
    <definedName name="ExternalData_1" localSheetId="2" hidden="1">marketing_data!$A$1:$E$251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6E57B-59F5-4C02-B57C-6481012B35AC}" keepAlive="1" name="Query - marketing_data" description="Connection to the 'marketing_data' query in the workbook." type="5" refreshedVersion="8" background="1" saveData="1">
    <dbPr connection="Provider=Microsoft.Mashup.OleDb.1;Data Source=$Workbook$;Location=marketing_data;Extended Properties=&quot;&quot;" command="SELECT * FROM [marketing_data]"/>
  </connection>
</connections>
</file>

<file path=xl/sharedStrings.xml><?xml version="1.0" encoding="utf-8"?>
<sst xmlns="http://schemas.openxmlformats.org/spreadsheetml/2006/main" count="274" uniqueCount="16">
  <si>
    <t>CampaignName</t>
  </si>
  <si>
    <t>Date</t>
  </si>
  <si>
    <t>Leads</t>
  </si>
  <si>
    <t>Conversions</t>
  </si>
  <si>
    <t>Spend</t>
  </si>
  <si>
    <t>Referral</t>
  </si>
  <si>
    <t>Email Blast</t>
  </si>
  <si>
    <t>Social Ads</t>
  </si>
  <si>
    <t>Facebook Ads</t>
  </si>
  <si>
    <t>Affiliate</t>
  </si>
  <si>
    <t>Google Ads</t>
  </si>
  <si>
    <t>Grand Total</t>
  </si>
  <si>
    <t>Sum of Leads</t>
  </si>
  <si>
    <t>Row Labels</t>
  </si>
  <si>
    <t>Sum of Spend</t>
  </si>
  <si>
    <t>Marketing Campaign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</si>
</sst>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[Dashboard.xlsx]Total Leads by Campaign!PivotTable1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Leads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Leads by Campaign'!$A$4:$A$10</c:f>
              <c:strCache>
                <c:ptCount val="6"/>
                <c:pt idx="0">
                  <c:v>Affiliate</c:v>
                </c:pt>
                <c:pt idx="1">
                  <c:v>Email Blast</c:v>
                </c:pt>
                <c:pt idx="2">
                  <c:v>Facebook Ads</c:v>
                </c:pt>
                <c:pt idx="3">
                  <c:v>Google Ads</c:v>
                </c:pt>
                <c:pt idx="4">
                  <c:v>Referral</c:v>
                </c:pt>
                <c:pt idx="5">
                  <c:v>Social Ads</c:v>
                </c:pt>
              </c:strCache>
            </c:strRef>
          </c:cat>
          <c:val>
            <c:numRef>
              <c:f>'Total Leads by Campaign'!$B$4:$B$10</c:f>
              <c:numCache>
                <c:formatCode>General</c:formatCode>
                <c:ptCount val="6"/>
                <c:pt idx="0">
                  <c:v>2246</c:v>
                </c:pt>
                <c:pt idx="1">
                  <c:v>2320</c:v>
                </c:pt>
                <c:pt idx="2">
                  <c:v>2407</c:v>
                </c:pt>
                <c:pt idx="3">
                  <c:v>1408</c:v>
                </c:pt>
                <c:pt idx="4">
                  <c:v>2809</c:v>
                </c:pt>
                <c:pt idx="5">
                  <c:v>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8-8E9B-4A00-AB08-DEB4F5712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120831"/>
        <c:axId val="525121791"/>
      </c:barChart>
      <c:catAx>
        <c:axId val="52512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21791"/>
        <c:crossesAt val="250"/>
        <c:auto val="1"/>
        <c:lblAlgn val="ctr"/>
        <c:lblOffset val="100"/>
        <c:noMultiLvlLbl val="0"/>
      </c:catAx>
      <c:valAx>
        <c:axId val="525121791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120831"/>
        <c:crosses val="autoZero"/>
        <c:crossBetween val="between"/>
        <c:majorUnit val="50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[Dashboard.xlsx]Total Leads by Campaign!PivotTable1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pl-PL"/>
              <a:t> Leads by Campaign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Leads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Leads by Campaign'!$A$4:$A$10</c:f>
              <c:strCache>
                <c:ptCount val="6"/>
                <c:pt idx="0">
                  <c:v>Affiliate</c:v>
                </c:pt>
                <c:pt idx="1">
                  <c:v>Email Blast</c:v>
                </c:pt>
                <c:pt idx="2">
                  <c:v>Facebook Ads</c:v>
                </c:pt>
                <c:pt idx="3">
                  <c:v>Google Ads</c:v>
                </c:pt>
                <c:pt idx="4">
                  <c:v>Referral</c:v>
                </c:pt>
                <c:pt idx="5">
                  <c:v>Social Ads</c:v>
                </c:pt>
              </c:strCache>
            </c:strRef>
          </c:cat>
          <c:val>
            <c:numRef>
              <c:f>'Total Leads by Campaign'!$B$4:$B$10</c:f>
              <c:numCache>
                <c:formatCode>General</c:formatCode>
                <c:ptCount val="6"/>
                <c:pt idx="0">
                  <c:v>2246</c:v>
                </c:pt>
                <c:pt idx="1">
                  <c:v>2320</c:v>
                </c:pt>
                <c:pt idx="2">
                  <c:v>2407</c:v>
                </c:pt>
                <c:pt idx="3">
                  <c:v>1408</c:v>
                </c:pt>
                <c:pt idx="4">
                  <c:v>2809</c:v>
                </c:pt>
                <c:pt idx="5">
                  <c:v>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E-4626-82EC-49E00362D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943247"/>
        <c:axId val="221937487"/>
      </c:barChart>
      <c:catAx>
        <c:axId val="22194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37487"/>
        <c:crosses val="autoZero"/>
        <c:auto val="1"/>
        <c:lblAlgn val="ctr"/>
        <c:lblOffset val="100"/>
        <c:noMultiLvlLbl val="0"/>
      </c:catAx>
      <c:valAx>
        <c:axId val="22193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[Dashboard.xlsx]Total Spend by Campain!PivotTable2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Total Spend by Campain</a:t>
            </a:r>
            <a:endParaRPr lang="en-GB"/>
          </a:p>
        </c:rich>
      </c:tx>
      <c:layout>
        <c:manualLayout>
          <c:xMode val="edge"/>
          <c:yMode val="edge"/>
          <c:x val="0.44024300087489066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Spend by Campain'!$B$3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Spend by Campain'!$A$4:$A$10</c:f>
              <c:strCache>
                <c:ptCount val="6"/>
                <c:pt idx="0">
                  <c:v>Affiliate</c:v>
                </c:pt>
                <c:pt idx="1">
                  <c:v>Email Blast</c:v>
                </c:pt>
                <c:pt idx="2">
                  <c:v>Facebook Ads</c:v>
                </c:pt>
                <c:pt idx="3">
                  <c:v>Google Ads</c:v>
                </c:pt>
                <c:pt idx="4">
                  <c:v>Referral</c:v>
                </c:pt>
                <c:pt idx="5">
                  <c:v>Social Ads</c:v>
                </c:pt>
              </c:strCache>
            </c:strRef>
          </c:cat>
          <c:val>
            <c:numRef>
              <c:f>'Total Spend by Campain'!$B$4:$B$10</c:f>
              <c:numCache>
                <c:formatCode>General</c:formatCode>
                <c:ptCount val="6"/>
                <c:pt idx="0">
                  <c:v>9881.61</c:v>
                </c:pt>
                <c:pt idx="1">
                  <c:v>11369.999999999996</c:v>
                </c:pt>
                <c:pt idx="2">
                  <c:v>13167.449999999999</c:v>
                </c:pt>
                <c:pt idx="3">
                  <c:v>6852.52</c:v>
                </c:pt>
                <c:pt idx="4">
                  <c:v>14419.180000000004</c:v>
                </c:pt>
                <c:pt idx="5">
                  <c:v>10511.86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3-41C3-B255-F584514BE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699103"/>
        <c:axId val="135706303"/>
      </c:barChart>
      <c:catAx>
        <c:axId val="13569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6303"/>
        <c:crosses val="autoZero"/>
        <c:auto val="1"/>
        <c:lblAlgn val="ctr"/>
        <c:lblOffset val="100"/>
        <c:noMultiLvlLbl val="0"/>
      </c:catAx>
      <c:valAx>
        <c:axId val="13570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[Dashboard.xlsx]Total Leads by Campaign!PivotTable1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pl-PL"/>
              <a:t> Leads by Campaign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Leads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Leads by Campaign'!$A$4:$A$10</c:f>
              <c:strCache>
                <c:ptCount val="6"/>
                <c:pt idx="0">
                  <c:v>Affiliate</c:v>
                </c:pt>
                <c:pt idx="1">
                  <c:v>Email Blast</c:v>
                </c:pt>
                <c:pt idx="2">
                  <c:v>Facebook Ads</c:v>
                </c:pt>
                <c:pt idx="3">
                  <c:v>Google Ads</c:v>
                </c:pt>
                <c:pt idx="4">
                  <c:v>Referral</c:v>
                </c:pt>
                <c:pt idx="5">
                  <c:v>Social Ads</c:v>
                </c:pt>
              </c:strCache>
            </c:strRef>
          </c:cat>
          <c:val>
            <c:numRef>
              <c:f>'Total Leads by Campaign'!$B$4:$B$10</c:f>
              <c:numCache>
                <c:formatCode>General</c:formatCode>
                <c:ptCount val="6"/>
                <c:pt idx="0">
                  <c:v>2246</c:v>
                </c:pt>
                <c:pt idx="1">
                  <c:v>2320</c:v>
                </c:pt>
                <c:pt idx="2">
                  <c:v>2407</c:v>
                </c:pt>
                <c:pt idx="3">
                  <c:v>1408</c:v>
                </c:pt>
                <c:pt idx="4">
                  <c:v>2809</c:v>
                </c:pt>
                <c:pt idx="5">
                  <c:v>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DB1-B5F4-D7497E83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1943247"/>
        <c:axId val="221937487"/>
      </c:barChart>
      <c:catAx>
        <c:axId val="22194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37487"/>
        <c:crosses val="autoZero"/>
        <c:auto val="1"/>
        <c:lblAlgn val="ctr"/>
        <c:lblOffset val="100"/>
        <c:noMultiLvlLbl val="0"/>
      </c:catAx>
      <c:valAx>
        <c:axId val="22193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9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[Dashboard.xlsx]Total Spend by Campain!PivotTable2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Total Spend by Campain</a:t>
            </a:r>
            <a:endParaRPr lang="en-GB"/>
          </a:p>
        </c:rich>
      </c:tx>
      <c:layout>
        <c:manualLayout>
          <c:xMode val="edge"/>
          <c:yMode val="edge"/>
          <c:x val="0.44024300087489066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Spend by Campain'!$B$3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Spend by Campain'!$A$4:$A$10</c:f>
              <c:strCache>
                <c:ptCount val="6"/>
                <c:pt idx="0">
                  <c:v>Affiliate</c:v>
                </c:pt>
                <c:pt idx="1">
                  <c:v>Email Blast</c:v>
                </c:pt>
                <c:pt idx="2">
                  <c:v>Facebook Ads</c:v>
                </c:pt>
                <c:pt idx="3">
                  <c:v>Google Ads</c:v>
                </c:pt>
                <c:pt idx="4">
                  <c:v>Referral</c:v>
                </c:pt>
                <c:pt idx="5">
                  <c:v>Social Ads</c:v>
                </c:pt>
              </c:strCache>
            </c:strRef>
          </c:cat>
          <c:val>
            <c:numRef>
              <c:f>'Total Spend by Campain'!$B$4:$B$10</c:f>
              <c:numCache>
                <c:formatCode>General</c:formatCode>
                <c:ptCount val="6"/>
                <c:pt idx="0">
                  <c:v>9881.61</c:v>
                </c:pt>
                <c:pt idx="1">
                  <c:v>11369.999999999996</c:v>
                </c:pt>
                <c:pt idx="2">
                  <c:v>13167.449999999999</c:v>
                </c:pt>
                <c:pt idx="3">
                  <c:v>6852.52</c:v>
                </c:pt>
                <c:pt idx="4">
                  <c:v>14419.180000000004</c:v>
                </c:pt>
                <c:pt idx="5">
                  <c:v>10511.86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4-4280-B1C7-EBDB093B0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699103"/>
        <c:axId val="135706303"/>
      </c:barChart>
      <c:catAx>
        <c:axId val="13569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6303"/>
        <c:crosses val="autoZero"/>
        <c:auto val="1"/>
        <c:lblAlgn val="ctr"/>
        <c:lblOffset val="100"/>
        <c:noMultiLvlLbl val="0"/>
      </c:catAx>
      <c:valAx>
        <c:axId val="13570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 Leads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41666667908430099" left="-0.40625"/>
          </cx:featureExtension>
        </cx:ext>
      </cx:extLst>
    </cx:title>
    <cx:plotArea>
      <cx:plotAreaRegion>
        <cx:series layoutId="clusteredColumn" uniqueId="{0A82FC09-4A97-4DC0-91C4-573C2337ACC2}">
          <cx:tx>
            <cx:txData>
              <cx:f>_xlchart.v1.0</cx:f>
              <cx:v>Leads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Leads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General" sourceLinked="0"/>
      </cx:axis>
      <cx:axis id="1">
        <cx:valScaling max="3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 Conversions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41666667908430099" left="-0.40625"/>
          </cx:featureExtension>
        </cx:ext>
      </cx:extLst>
    </cx:title>
    <cx:plotArea>
      <cx:plotAreaRegion>
        <cx:plotSurface>
          <cx:spPr>
            <a:ln>
              <a:solidFill>
                <a:srgbClr val="92D050"/>
              </a:solidFill>
            </a:ln>
          </cx:spPr>
        </cx:plotSurface>
        <cx:series layoutId="clusteredColumn" uniqueId="{AFD30F9C-DDF4-48BF-B833-93467E9B98C5}">
          <cx:tx>
            <cx:txData>
              <cx:f>_xlchart.v1.6</cx:f>
              <cx:v>Conversions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Conversions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General" sourceLinked="0"/>
      </cx:axis>
      <cx:axis id="1">
        <cx:valScaling max="5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 Leads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41666667908430099" left="-0.40625"/>
          </cx:featureExtension>
        </cx:ext>
      </cx:extLst>
    </cx:title>
    <cx:plotArea>
      <cx:plotAreaRegion>
        <cx:series layoutId="clusteredColumn" uniqueId="{0A82FC09-4A97-4DC0-91C4-573C2337ACC2}">
          <cx:tx>
            <cx:txData>
              <cx:f>_xlchart.v1.8</cx:f>
              <cx:v>Leads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Leads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General" sourceLinked="0"/>
      </cx:axis>
      <cx:axis id="1">
        <cx:valScaling max="3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l-P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 Conversions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  <cx:extLst>
        <cx:ext uri="ext:featex">
          <cx:featureExtension feature="mp" drop="onModelChange">
            <cx:offset top="-0.041666667908430099" left="-0.40625"/>
          </cx:featureExtension>
        </cx:ext>
      </cx:extLst>
    </cx:title>
    <cx:plotArea>
      <cx:plotAreaRegion>
        <cx:plotSurface>
          <cx:spPr>
            <a:ln>
              <a:solidFill>
                <a:srgbClr val="92D050"/>
              </a:solidFill>
            </a:ln>
          </cx:spPr>
        </cx:plotSurface>
        <cx:series layoutId="clusteredColumn" uniqueId="{AFD30F9C-DDF4-48BF-B833-93467E9B98C5}">
          <cx:tx>
            <cx:txData>
              <cx:f>_xlchart.v1.10</cx:f>
              <cx:v>Conversions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Number of Conversions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General" sourceLinked="0"/>
      </cx:axis>
      <cx:axis id="1">
        <cx:valScaling max="5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l-PL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95250</xdr:colOff>
      <xdr:row>11</xdr:row>
      <xdr:rowOff>152400</xdr:rowOff>
    </xdr:from>
    <xdr:to>
      <xdr:col>35</xdr:col>
      <xdr:colOff>133350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697E0-E8D1-A98F-23F4-6937D08E8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1114424</xdr:colOff>
      <xdr:row>4</xdr:row>
      <xdr:rowOff>19050</xdr:rowOff>
    </xdr:from>
    <xdr:to>
      <xdr:col>9</xdr:col>
      <xdr:colOff>1009649</xdr:colOff>
      <xdr:row>23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0E81E-BBF6-6C89-9424-C515F5D32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2</xdr:row>
      <xdr:rowOff>6350</xdr:rowOff>
    </xdr:from>
    <xdr:to>
      <xdr:col>10</xdr:col>
      <xdr:colOff>301625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83E5E-7765-06EB-5826-87634F07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1</xdr:row>
      <xdr:rowOff>38100</xdr:rowOff>
    </xdr:from>
    <xdr:to>
      <xdr:col>14</xdr:col>
      <xdr:colOff>450849</xdr:colOff>
      <xdr:row>16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E027A79-87DB-0C2C-9BF5-CDFFB9F79B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0999" y="219075"/>
              <a:ext cx="58229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</xdr:row>
      <xdr:rowOff>0</xdr:rowOff>
    </xdr:from>
    <xdr:to>
      <xdr:col>25</xdr:col>
      <xdr:colOff>336550</xdr:colOff>
      <xdr:row>16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2C76882-6FBD-4FF9-8BE7-B59231C407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82300" y="180975"/>
              <a:ext cx="58229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9</xdr:col>
      <xdr:colOff>333375</xdr:colOff>
      <xdr:row>21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233470-3E43-453B-B9B3-5B1CCAE86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85850"/>
              <a:ext cx="5819775" cy="274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352425</xdr:colOff>
      <xdr:row>6</xdr:row>
      <xdr:rowOff>19050</xdr:rowOff>
    </xdr:from>
    <xdr:to>
      <xdr:col>20</xdr:col>
      <xdr:colOff>76200</xdr:colOff>
      <xdr:row>21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06B47E-48A7-436B-A884-84E32A89A0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8425" y="1104900"/>
              <a:ext cx="5819775" cy="274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23</xdr:row>
      <xdr:rowOff>0</xdr:rowOff>
    </xdr:from>
    <xdr:to>
      <xdr:col>9</xdr:col>
      <xdr:colOff>323850</xdr:colOff>
      <xdr:row>38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B1C15F-43B9-421D-BAED-08FF9EE8E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342899</xdr:colOff>
      <xdr:row>23</xdr:row>
      <xdr:rowOff>47626</xdr:rowOff>
    </xdr:from>
    <xdr:to>
      <xdr:col>20</xdr:col>
      <xdr:colOff>69849</xdr:colOff>
      <xdr:row>38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5335AD-9228-4824-A269-8284F3E29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BRONOWSKI" refreshedDate="46083.902737037039" createdVersion="8" refreshedVersion="8" minRefreshableVersion="3" recordCount="250" xr:uid="{8B733009-3998-4CB7-8A36-465196226265}">
  <cacheSource type="worksheet">
    <worksheetSource name="marketing_data"/>
  </cacheSource>
  <cacheFields count="5">
    <cacheField name="CampaignName" numFmtId="0">
      <sharedItems count="6">
        <s v="Referral"/>
        <s v="Email Blast"/>
        <s v="Social Ads"/>
        <s v="Facebook Ads"/>
        <s v="Affiliate"/>
        <s v="Google Ads"/>
      </sharedItems>
    </cacheField>
    <cacheField name="Date" numFmtId="14">
      <sharedItems containsSemiMixedTypes="0" containsNonDate="0" containsDate="1" containsString="0" minDate="2026-01-31T00:00:00" maxDate="2026-03-03T00:00:00"/>
    </cacheField>
    <cacheField name="Leads" numFmtId="0">
      <sharedItems containsSemiMixedTypes="0" containsString="0" containsNumber="1" containsInteger="1" minValue="10" maxValue="100" count="88">
        <n v="71"/>
        <n v="93"/>
        <n v="76"/>
        <n v="68"/>
        <n v="43"/>
        <n v="17"/>
        <n v="53"/>
        <n v="48"/>
        <n v="47"/>
        <n v="42"/>
        <n v="36"/>
        <n v="33"/>
        <n v="29"/>
        <n v="13"/>
        <n v="60"/>
        <n v="32"/>
        <n v="19"/>
        <n v="18"/>
        <n v="64"/>
        <n v="94"/>
        <n v="72"/>
        <n v="49"/>
        <n v="96"/>
        <n v="86"/>
        <n v="45"/>
        <n v="28"/>
        <n v="63"/>
        <n v="80"/>
        <n v="20"/>
        <n v="27"/>
        <n v="37"/>
        <n v="73"/>
        <n v="98"/>
        <n v="100"/>
        <n v="74"/>
        <n v="34"/>
        <n v="66"/>
        <n v="54"/>
        <n v="46"/>
        <n v="55"/>
        <n v="79"/>
        <n v="67"/>
        <n v="44"/>
        <n v="16"/>
        <n v="41"/>
        <n v="95"/>
        <n v="31"/>
        <n v="85"/>
        <n v="12"/>
        <n v="39"/>
        <n v="58"/>
        <n v="75"/>
        <n v="88"/>
        <n v="78"/>
        <n v="51"/>
        <n v="62"/>
        <n v="35"/>
        <n v="83"/>
        <n v="30"/>
        <n v="56"/>
        <n v="22"/>
        <n v="65"/>
        <n v="23"/>
        <n v="14"/>
        <n v="69"/>
        <n v="57"/>
        <n v="11"/>
        <n v="91"/>
        <n v="24"/>
        <n v="97"/>
        <n v="26"/>
        <n v="15"/>
        <n v="81"/>
        <n v="82"/>
        <n v="38"/>
        <n v="99"/>
        <n v="50"/>
        <n v="59"/>
        <n v="84"/>
        <n v="89"/>
        <n v="92"/>
        <n v="40"/>
        <n v="87"/>
        <n v="90"/>
        <n v="25"/>
        <n v="10"/>
        <n v="77"/>
        <n v="61"/>
      </sharedItems>
    </cacheField>
    <cacheField name="Conversions" numFmtId="0">
      <sharedItems containsSemiMixedTypes="0" containsString="0" containsNumber="1" containsInteger="1" minValue="0" maxValue="92" count="73">
        <n v="40"/>
        <n v="37"/>
        <n v="63"/>
        <n v="52"/>
        <n v="28"/>
        <n v="7"/>
        <n v="16"/>
        <n v="6"/>
        <n v="26"/>
        <n v="11"/>
        <n v="17"/>
        <n v="30"/>
        <n v="9"/>
        <n v="44"/>
        <n v="41"/>
        <n v="18"/>
        <n v="15"/>
        <n v="12"/>
        <n v="25"/>
        <n v="43"/>
        <n v="2"/>
        <n v="1"/>
        <n v="47"/>
        <n v="33"/>
        <n v="31"/>
        <n v="46"/>
        <n v="92"/>
        <n v="57"/>
        <n v="5"/>
        <n v="19"/>
        <n v="34"/>
        <n v="84"/>
        <n v="8"/>
        <n v="36"/>
        <n v="76"/>
        <n v="35"/>
        <n v="0"/>
        <n v="3"/>
        <n v="10"/>
        <n v="42"/>
        <n v="81"/>
        <n v="13"/>
        <n v="55"/>
        <n v="4"/>
        <n v="49"/>
        <n v="56"/>
        <n v="39"/>
        <n v="21"/>
        <n v="32"/>
        <n v="58"/>
        <n v="53"/>
        <n v="54"/>
        <n v="14"/>
        <n v="27"/>
        <n v="22"/>
        <n v="23"/>
        <n v="64"/>
        <n v="29"/>
        <n v="24"/>
        <n v="59"/>
        <n v="72"/>
        <n v="38"/>
        <n v="68"/>
        <n v="83"/>
        <n v="73"/>
        <n v="62"/>
        <n v="79"/>
        <n v="69"/>
        <n v="65"/>
        <n v="20"/>
        <n v="70"/>
        <n v="66"/>
        <n v="48"/>
      </sharedItems>
    </cacheField>
    <cacheField name="Spend" numFmtId="0">
      <sharedItems containsSemiMixedTypes="0" containsString="0" containsNumber="1" minValue="51.34" maxValue="498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d v="2026-02-19T00:00:00"/>
    <x v="0"/>
    <x v="0"/>
    <n v="311.58"/>
  </r>
  <r>
    <x v="0"/>
    <d v="2026-02-05T00:00:00"/>
    <x v="1"/>
    <x v="1"/>
    <n v="137.91"/>
  </r>
  <r>
    <x v="1"/>
    <d v="2026-01-31T00:00:00"/>
    <x v="2"/>
    <x v="2"/>
    <n v="136.4"/>
  </r>
  <r>
    <x v="2"/>
    <d v="2026-02-10T00:00:00"/>
    <x v="3"/>
    <x v="3"/>
    <n v="411.67"/>
  </r>
  <r>
    <x v="0"/>
    <d v="2026-02-26T00:00:00"/>
    <x v="4"/>
    <x v="4"/>
    <n v="487.34"/>
  </r>
  <r>
    <x v="0"/>
    <d v="2026-02-19T00:00:00"/>
    <x v="2"/>
    <x v="5"/>
    <n v="167.99"/>
  </r>
  <r>
    <x v="2"/>
    <d v="2026-02-26T00:00:00"/>
    <x v="5"/>
    <x v="6"/>
    <n v="138.01"/>
  </r>
  <r>
    <x v="3"/>
    <d v="2026-01-31T00:00:00"/>
    <x v="6"/>
    <x v="7"/>
    <n v="440.95"/>
  </r>
  <r>
    <x v="3"/>
    <d v="2026-02-27T00:00:00"/>
    <x v="7"/>
    <x v="8"/>
    <n v="435.08"/>
  </r>
  <r>
    <x v="2"/>
    <d v="2026-02-28T00:00:00"/>
    <x v="8"/>
    <x v="9"/>
    <n v="73.45"/>
  </r>
  <r>
    <x v="2"/>
    <d v="2026-02-03T00:00:00"/>
    <x v="9"/>
    <x v="10"/>
    <n v="88.66"/>
  </r>
  <r>
    <x v="0"/>
    <d v="2026-02-09T00:00:00"/>
    <x v="10"/>
    <x v="4"/>
    <n v="359.24"/>
  </r>
  <r>
    <x v="4"/>
    <d v="2026-02-13T00:00:00"/>
    <x v="1"/>
    <x v="11"/>
    <n v="108.17"/>
  </r>
  <r>
    <x v="5"/>
    <d v="2026-02-05T00:00:00"/>
    <x v="11"/>
    <x v="12"/>
    <n v="416.36"/>
  </r>
  <r>
    <x v="5"/>
    <d v="2026-02-18T00:00:00"/>
    <x v="12"/>
    <x v="6"/>
    <n v="63.03"/>
  </r>
  <r>
    <x v="3"/>
    <d v="2026-01-31T00:00:00"/>
    <x v="13"/>
    <x v="7"/>
    <n v="471.78"/>
  </r>
  <r>
    <x v="4"/>
    <d v="2026-02-16T00:00:00"/>
    <x v="0"/>
    <x v="13"/>
    <n v="471.92"/>
  </r>
  <r>
    <x v="0"/>
    <d v="2026-02-04T00:00:00"/>
    <x v="14"/>
    <x v="14"/>
    <n v="442.43"/>
  </r>
  <r>
    <x v="2"/>
    <d v="2026-02-22T00:00:00"/>
    <x v="15"/>
    <x v="15"/>
    <n v="58.44"/>
  </r>
  <r>
    <x v="1"/>
    <d v="2026-02-14T00:00:00"/>
    <x v="16"/>
    <x v="15"/>
    <n v="324.27"/>
  </r>
  <r>
    <x v="0"/>
    <d v="2026-02-15T00:00:00"/>
    <x v="0"/>
    <x v="6"/>
    <n v="187.59"/>
  </r>
  <r>
    <x v="3"/>
    <d v="2026-02-19T00:00:00"/>
    <x v="17"/>
    <x v="16"/>
    <n v="435.53"/>
  </r>
  <r>
    <x v="0"/>
    <d v="2026-02-08T00:00:00"/>
    <x v="18"/>
    <x v="17"/>
    <n v="398.49"/>
  </r>
  <r>
    <x v="2"/>
    <d v="2026-02-11T00:00:00"/>
    <x v="19"/>
    <x v="1"/>
    <n v="135.05000000000001"/>
  </r>
  <r>
    <x v="0"/>
    <d v="2026-02-21T00:00:00"/>
    <x v="20"/>
    <x v="2"/>
    <n v="455.2"/>
  </r>
  <r>
    <x v="2"/>
    <d v="2026-02-09T00:00:00"/>
    <x v="21"/>
    <x v="18"/>
    <n v="478.34"/>
  </r>
  <r>
    <x v="3"/>
    <d v="2026-02-07T00:00:00"/>
    <x v="16"/>
    <x v="16"/>
    <n v="381.52"/>
  </r>
  <r>
    <x v="1"/>
    <d v="2026-02-09T00:00:00"/>
    <x v="0"/>
    <x v="9"/>
    <n v="498.7"/>
  </r>
  <r>
    <x v="5"/>
    <d v="2026-02-17T00:00:00"/>
    <x v="22"/>
    <x v="10"/>
    <n v="317.45"/>
  </r>
  <r>
    <x v="5"/>
    <d v="2026-02-22T00:00:00"/>
    <x v="23"/>
    <x v="10"/>
    <n v="474.52"/>
  </r>
  <r>
    <x v="1"/>
    <d v="2026-02-18T00:00:00"/>
    <x v="24"/>
    <x v="19"/>
    <n v="319.02999999999997"/>
  </r>
  <r>
    <x v="0"/>
    <d v="2026-03-01T00:00:00"/>
    <x v="25"/>
    <x v="20"/>
    <n v="393.74"/>
  </r>
  <r>
    <x v="5"/>
    <d v="2026-02-05T00:00:00"/>
    <x v="26"/>
    <x v="21"/>
    <n v="243.53"/>
  </r>
  <r>
    <x v="5"/>
    <d v="2026-02-20T00:00:00"/>
    <x v="27"/>
    <x v="22"/>
    <n v="181.61"/>
  </r>
  <r>
    <x v="4"/>
    <d v="2026-02-25T00:00:00"/>
    <x v="28"/>
    <x v="16"/>
    <n v="60.57"/>
  </r>
  <r>
    <x v="0"/>
    <d v="2026-02-08T00:00:00"/>
    <x v="27"/>
    <x v="23"/>
    <n v="159.35"/>
  </r>
  <r>
    <x v="5"/>
    <d v="2026-02-05T00:00:00"/>
    <x v="29"/>
    <x v="15"/>
    <n v="411.85"/>
  </r>
  <r>
    <x v="0"/>
    <d v="2026-02-17T00:00:00"/>
    <x v="30"/>
    <x v="24"/>
    <n v="71.41"/>
  </r>
  <r>
    <x v="3"/>
    <d v="2026-02-07T00:00:00"/>
    <x v="31"/>
    <x v="25"/>
    <n v="71.36"/>
  </r>
  <r>
    <x v="5"/>
    <d v="2026-02-27T00:00:00"/>
    <x v="32"/>
    <x v="26"/>
    <n v="95.95"/>
  </r>
  <r>
    <x v="2"/>
    <d v="2026-02-09T00:00:00"/>
    <x v="33"/>
    <x v="27"/>
    <n v="303.92"/>
  </r>
  <r>
    <x v="1"/>
    <d v="2026-03-02T00:00:00"/>
    <x v="28"/>
    <x v="20"/>
    <n v="224.35"/>
  </r>
  <r>
    <x v="3"/>
    <d v="2026-02-18T00:00:00"/>
    <x v="34"/>
    <x v="3"/>
    <n v="418.43"/>
  </r>
  <r>
    <x v="1"/>
    <d v="2026-02-26T00:00:00"/>
    <x v="35"/>
    <x v="28"/>
    <n v="203.67"/>
  </r>
  <r>
    <x v="5"/>
    <d v="2026-02-26T00:00:00"/>
    <x v="36"/>
    <x v="29"/>
    <n v="438.22"/>
  </r>
  <r>
    <x v="2"/>
    <d v="2026-02-10T00:00:00"/>
    <x v="37"/>
    <x v="30"/>
    <n v="165.09"/>
  </r>
  <r>
    <x v="0"/>
    <d v="2026-02-18T00:00:00"/>
    <x v="38"/>
    <x v="21"/>
    <n v="54.63"/>
  </r>
  <r>
    <x v="0"/>
    <d v="2026-02-17T00:00:00"/>
    <x v="22"/>
    <x v="31"/>
    <n v="348.99"/>
  </r>
  <r>
    <x v="4"/>
    <d v="2026-02-11T00:00:00"/>
    <x v="39"/>
    <x v="32"/>
    <n v="206.51"/>
  </r>
  <r>
    <x v="0"/>
    <d v="2026-02-13T00:00:00"/>
    <x v="24"/>
    <x v="33"/>
    <n v="484.06"/>
  </r>
  <r>
    <x v="3"/>
    <d v="2026-02-21T00:00:00"/>
    <x v="19"/>
    <x v="34"/>
    <n v="316.3"/>
  </r>
  <r>
    <x v="3"/>
    <d v="2026-02-05T00:00:00"/>
    <x v="7"/>
    <x v="33"/>
    <n v="437.81"/>
  </r>
  <r>
    <x v="0"/>
    <d v="2026-01-31T00:00:00"/>
    <x v="40"/>
    <x v="14"/>
    <n v="466.32"/>
  </r>
  <r>
    <x v="2"/>
    <d v="2026-02-10T00:00:00"/>
    <x v="41"/>
    <x v="0"/>
    <n v="110.27"/>
  </r>
  <r>
    <x v="1"/>
    <d v="2026-02-20T00:00:00"/>
    <x v="42"/>
    <x v="24"/>
    <n v="142.79"/>
  </r>
  <r>
    <x v="0"/>
    <d v="2026-01-31T00:00:00"/>
    <x v="1"/>
    <x v="35"/>
    <n v="355.81"/>
  </r>
  <r>
    <x v="1"/>
    <d v="2026-02-15T00:00:00"/>
    <x v="43"/>
    <x v="7"/>
    <n v="129.53"/>
  </r>
  <r>
    <x v="1"/>
    <d v="2026-02-14T00:00:00"/>
    <x v="21"/>
    <x v="36"/>
    <n v="381.11"/>
  </r>
  <r>
    <x v="3"/>
    <d v="2026-02-25T00:00:00"/>
    <x v="44"/>
    <x v="5"/>
    <n v="369.98"/>
  </r>
  <r>
    <x v="1"/>
    <d v="2026-02-27T00:00:00"/>
    <x v="10"/>
    <x v="36"/>
    <n v="150.03"/>
  </r>
  <r>
    <x v="4"/>
    <d v="2026-02-02T00:00:00"/>
    <x v="45"/>
    <x v="30"/>
    <n v="155.08000000000001"/>
  </r>
  <r>
    <x v="3"/>
    <d v="2026-02-14T00:00:00"/>
    <x v="24"/>
    <x v="37"/>
    <n v="284.7"/>
  </r>
  <r>
    <x v="4"/>
    <d v="2026-03-02T00:00:00"/>
    <x v="42"/>
    <x v="4"/>
    <n v="150.94"/>
  </r>
  <r>
    <x v="1"/>
    <d v="2026-02-09T00:00:00"/>
    <x v="46"/>
    <x v="38"/>
    <n v="62.93"/>
  </r>
  <r>
    <x v="0"/>
    <d v="2026-02-14T00:00:00"/>
    <x v="37"/>
    <x v="24"/>
    <n v="107.45"/>
  </r>
  <r>
    <x v="0"/>
    <d v="2026-03-02T00:00:00"/>
    <x v="47"/>
    <x v="6"/>
    <n v="464.67"/>
  </r>
  <r>
    <x v="2"/>
    <d v="2026-03-01T00:00:00"/>
    <x v="17"/>
    <x v="16"/>
    <n v="302.63"/>
  </r>
  <r>
    <x v="1"/>
    <d v="2026-02-11T00:00:00"/>
    <x v="48"/>
    <x v="20"/>
    <n v="296.37"/>
  </r>
  <r>
    <x v="0"/>
    <d v="2026-02-04T00:00:00"/>
    <x v="49"/>
    <x v="15"/>
    <n v="175.77"/>
  </r>
  <r>
    <x v="0"/>
    <d v="2026-02-28T00:00:00"/>
    <x v="9"/>
    <x v="39"/>
    <n v="301.08999999999997"/>
  </r>
  <r>
    <x v="3"/>
    <d v="2026-02-27T00:00:00"/>
    <x v="50"/>
    <x v="13"/>
    <n v="383.28"/>
  </r>
  <r>
    <x v="3"/>
    <d v="2026-02-21T00:00:00"/>
    <x v="12"/>
    <x v="6"/>
    <n v="391.18"/>
  </r>
  <r>
    <x v="0"/>
    <d v="2026-02-06T00:00:00"/>
    <x v="21"/>
    <x v="16"/>
    <n v="459.16"/>
  </r>
  <r>
    <x v="1"/>
    <d v="2026-02-01T00:00:00"/>
    <x v="48"/>
    <x v="32"/>
    <n v="369.48"/>
  </r>
  <r>
    <x v="3"/>
    <d v="2026-02-25T00:00:00"/>
    <x v="51"/>
    <x v="39"/>
    <n v="193.01"/>
  </r>
  <r>
    <x v="2"/>
    <d v="2026-02-19T00:00:00"/>
    <x v="11"/>
    <x v="38"/>
    <n v="141.85"/>
  </r>
  <r>
    <x v="4"/>
    <d v="2026-02-17T00:00:00"/>
    <x v="15"/>
    <x v="16"/>
    <n v="181.89"/>
  </r>
  <r>
    <x v="4"/>
    <d v="2026-02-03T00:00:00"/>
    <x v="20"/>
    <x v="3"/>
    <n v="266.39999999999998"/>
  </r>
  <r>
    <x v="1"/>
    <d v="2026-02-13T00:00:00"/>
    <x v="52"/>
    <x v="40"/>
    <n v="246.85"/>
  </r>
  <r>
    <x v="1"/>
    <d v="2026-02-13T00:00:00"/>
    <x v="53"/>
    <x v="8"/>
    <n v="281.56"/>
  </r>
  <r>
    <x v="0"/>
    <d v="2026-02-26T00:00:00"/>
    <x v="54"/>
    <x v="41"/>
    <n v="143.38999999999999"/>
  </r>
  <r>
    <x v="0"/>
    <d v="2026-02-01T00:00:00"/>
    <x v="36"/>
    <x v="42"/>
    <n v="423.98"/>
  </r>
  <r>
    <x v="3"/>
    <d v="2026-02-24T00:00:00"/>
    <x v="55"/>
    <x v="0"/>
    <n v="54.8"/>
  </r>
  <r>
    <x v="3"/>
    <d v="2026-02-28T00:00:00"/>
    <x v="56"/>
    <x v="10"/>
    <n v="360.02"/>
  </r>
  <r>
    <x v="1"/>
    <d v="2026-02-28T00:00:00"/>
    <x v="35"/>
    <x v="36"/>
    <n v="304.87"/>
  </r>
  <r>
    <x v="3"/>
    <d v="2026-02-20T00:00:00"/>
    <x v="24"/>
    <x v="29"/>
    <n v="399.21"/>
  </r>
  <r>
    <x v="4"/>
    <d v="2026-02-03T00:00:00"/>
    <x v="17"/>
    <x v="43"/>
    <n v="357.3"/>
  </r>
  <r>
    <x v="0"/>
    <d v="2026-02-28T00:00:00"/>
    <x v="14"/>
    <x v="32"/>
    <n v="274.87"/>
  </r>
  <r>
    <x v="4"/>
    <d v="2026-02-08T00:00:00"/>
    <x v="0"/>
    <x v="37"/>
    <n v="76.06"/>
  </r>
  <r>
    <x v="0"/>
    <d v="2026-02-25T00:00:00"/>
    <x v="9"/>
    <x v="5"/>
    <n v="313.63"/>
  </r>
  <r>
    <x v="2"/>
    <d v="2026-02-23T00:00:00"/>
    <x v="57"/>
    <x v="21"/>
    <n v="146.08000000000001"/>
  </r>
  <r>
    <x v="4"/>
    <d v="2026-02-13T00:00:00"/>
    <x v="2"/>
    <x v="44"/>
    <n v="303.55"/>
  </r>
  <r>
    <x v="1"/>
    <d v="2026-02-23T00:00:00"/>
    <x v="58"/>
    <x v="41"/>
    <n v="200.33"/>
  </r>
  <r>
    <x v="2"/>
    <d v="2026-02-19T00:00:00"/>
    <x v="26"/>
    <x v="45"/>
    <n v="131.13"/>
  </r>
  <r>
    <x v="2"/>
    <d v="2026-02-10T00:00:00"/>
    <x v="3"/>
    <x v="9"/>
    <n v="307.14999999999998"/>
  </r>
  <r>
    <x v="2"/>
    <d v="2026-02-23T00:00:00"/>
    <x v="24"/>
    <x v="15"/>
    <n v="497.78"/>
  </r>
  <r>
    <x v="3"/>
    <d v="2026-02-05T00:00:00"/>
    <x v="59"/>
    <x v="0"/>
    <n v="184.79"/>
  </r>
  <r>
    <x v="3"/>
    <d v="2026-02-04T00:00:00"/>
    <x v="33"/>
    <x v="46"/>
    <n v="179.52"/>
  </r>
  <r>
    <x v="4"/>
    <d v="2026-03-01T00:00:00"/>
    <x v="42"/>
    <x v="18"/>
    <n v="62.02"/>
  </r>
  <r>
    <x v="4"/>
    <d v="2026-02-10T00:00:00"/>
    <x v="60"/>
    <x v="17"/>
    <n v="142.74"/>
  </r>
  <r>
    <x v="0"/>
    <d v="2026-02-09T00:00:00"/>
    <x v="28"/>
    <x v="10"/>
    <n v="206.35"/>
  </r>
  <r>
    <x v="5"/>
    <d v="2026-02-03T00:00:00"/>
    <x v="58"/>
    <x v="47"/>
    <n v="141.32"/>
  </r>
  <r>
    <x v="1"/>
    <d v="2026-02-08T00:00:00"/>
    <x v="42"/>
    <x v="48"/>
    <n v="157.53"/>
  </r>
  <r>
    <x v="3"/>
    <d v="2026-02-09T00:00:00"/>
    <x v="61"/>
    <x v="49"/>
    <n v="183.17"/>
  </r>
  <r>
    <x v="5"/>
    <d v="2026-02-09T00:00:00"/>
    <x v="62"/>
    <x v="6"/>
    <n v="351.09"/>
  </r>
  <r>
    <x v="3"/>
    <d v="2026-02-12T00:00:00"/>
    <x v="59"/>
    <x v="14"/>
    <n v="412.5"/>
  </r>
  <r>
    <x v="5"/>
    <d v="2026-02-09T00:00:00"/>
    <x v="24"/>
    <x v="30"/>
    <n v="96.89"/>
  </r>
  <r>
    <x v="4"/>
    <d v="2026-02-04T00:00:00"/>
    <x v="23"/>
    <x v="1"/>
    <n v="350.17"/>
  </r>
  <r>
    <x v="3"/>
    <d v="2026-02-15T00:00:00"/>
    <x v="34"/>
    <x v="50"/>
    <n v="277.62"/>
  </r>
  <r>
    <x v="1"/>
    <d v="2026-02-01T00:00:00"/>
    <x v="4"/>
    <x v="41"/>
    <n v="462.23"/>
  </r>
  <r>
    <x v="0"/>
    <d v="2026-02-11T00:00:00"/>
    <x v="15"/>
    <x v="32"/>
    <n v="112.52"/>
  </r>
  <r>
    <x v="3"/>
    <d v="2026-02-15T00:00:00"/>
    <x v="16"/>
    <x v="36"/>
    <n v="345.1"/>
  </r>
  <r>
    <x v="0"/>
    <d v="2026-02-18T00:00:00"/>
    <x v="1"/>
    <x v="24"/>
    <n v="73.58"/>
  </r>
  <r>
    <x v="2"/>
    <d v="2026-02-24T00:00:00"/>
    <x v="39"/>
    <x v="48"/>
    <n v="199.52"/>
  </r>
  <r>
    <x v="0"/>
    <d v="2026-02-24T00:00:00"/>
    <x v="63"/>
    <x v="12"/>
    <n v="478.66"/>
  </r>
  <r>
    <x v="4"/>
    <d v="2026-02-12T00:00:00"/>
    <x v="36"/>
    <x v="51"/>
    <n v="398.05"/>
  </r>
  <r>
    <x v="4"/>
    <d v="2026-02-26T00:00:00"/>
    <x v="26"/>
    <x v="38"/>
    <n v="344.49"/>
  </r>
  <r>
    <x v="1"/>
    <d v="2026-01-31T00:00:00"/>
    <x v="5"/>
    <x v="7"/>
    <n v="141.63"/>
  </r>
  <r>
    <x v="1"/>
    <d v="2026-02-19T00:00:00"/>
    <x v="35"/>
    <x v="10"/>
    <n v="64.11"/>
  </r>
  <r>
    <x v="4"/>
    <d v="2026-02-05T00:00:00"/>
    <x v="21"/>
    <x v="52"/>
    <n v="63.82"/>
  </r>
  <r>
    <x v="4"/>
    <d v="2026-02-12T00:00:00"/>
    <x v="64"/>
    <x v="53"/>
    <n v="407.49"/>
  </r>
  <r>
    <x v="3"/>
    <d v="2026-02-10T00:00:00"/>
    <x v="46"/>
    <x v="54"/>
    <n v="61.71"/>
  </r>
  <r>
    <x v="2"/>
    <d v="2026-02-16T00:00:00"/>
    <x v="1"/>
    <x v="41"/>
    <n v="290.79000000000002"/>
  </r>
  <r>
    <x v="3"/>
    <d v="2026-02-02T00:00:00"/>
    <x v="65"/>
    <x v="52"/>
    <n v="271.26"/>
  </r>
  <r>
    <x v="3"/>
    <d v="2026-02-14T00:00:00"/>
    <x v="24"/>
    <x v="41"/>
    <n v="128.19999999999999"/>
  </r>
  <r>
    <x v="1"/>
    <d v="2026-02-13T00:00:00"/>
    <x v="24"/>
    <x v="52"/>
    <n v="153.80000000000001"/>
  </r>
  <r>
    <x v="4"/>
    <d v="2026-02-22T00:00:00"/>
    <x v="14"/>
    <x v="54"/>
    <n v="296.91000000000003"/>
  </r>
  <r>
    <x v="0"/>
    <d v="2026-02-21T00:00:00"/>
    <x v="66"/>
    <x v="28"/>
    <n v="182.18"/>
  </r>
  <r>
    <x v="2"/>
    <d v="2026-02-17T00:00:00"/>
    <x v="67"/>
    <x v="43"/>
    <n v="365.07"/>
  </r>
  <r>
    <x v="1"/>
    <d v="2026-03-01T00:00:00"/>
    <x v="10"/>
    <x v="54"/>
    <n v="84.14"/>
  </r>
  <r>
    <x v="5"/>
    <d v="2026-02-11T00:00:00"/>
    <x v="4"/>
    <x v="55"/>
    <n v="151.43"/>
  </r>
  <r>
    <x v="4"/>
    <d v="2026-02-19T00:00:00"/>
    <x v="20"/>
    <x v="46"/>
    <n v="413.83"/>
  </r>
  <r>
    <x v="2"/>
    <d v="2026-02-22T00:00:00"/>
    <x v="43"/>
    <x v="37"/>
    <n v="51.34"/>
  </r>
  <r>
    <x v="3"/>
    <d v="2026-02-27T00:00:00"/>
    <x v="7"/>
    <x v="29"/>
    <n v="148.43"/>
  </r>
  <r>
    <x v="3"/>
    <d v="2026-02-27T00:00:00"/>
    <x v="22"/>
    <x v="14"/>
    <n v="323.48"/>
  </r>
  <r>
    <x v="3"/>
    <d v="2026-02-27T00:00:00"/>
    <x v="68"/>
    <x v="43"/>
    <n v="476.91"/>
  </r>
  <r>
    <x v="2"/>
    <d v="2026-02-08T00:00:00"/>
    <x v="69"/>
    <x v="33"/>
    <n v="201.88"/>
  </r>
  <r>
    <x v="1"/>
    <d v="2026-02-11T00:00:00"/>
    <x v="3"/>
    <x v="46"/>
    <n v="92.77"/>
  </r>
  <r>
    <x v="4"/>
    <d v="2026-02-17T00:00:00"/>
    <x v="19"/>
    <x v="56"/>
    <n v="96.76"/>
  </r>
  <r>
    <x v="4"/>
    <d v="2026-02-03T00:00:00"/>
    <x v="45"/>
    <x v="57"/>
    <n v="480.87"/>
  </r>
  <r>
    <x v="3"/>
    <d v="2026-02-02T00:00:00"/>
    <x v="32"/>
    <x v="32"/>
    <n v="313.13"/>
  </r>
  <r>
    <x v="1"/>
    <d v="2026-02-16T00:00:00"/>
    <x v="39"/>
    <x v="22"/>
    <n v="419.27"/>
  </r>
  <r>
    <x v="5"/>
    <d v="2026-02-19T00:00:00"/>
    <x v="25"/>
    <x v="41"/>
    <n v="444.88"/>
  </r>
  <r>
    <x v="1"/>
    <d v="2026-02-15T00:00:00"/>
    <x v="6"/>
    <x v="20"/>
    <n v="295.08999999999997"/>
  </r>
  <r>
    <x v="3"/>
    <d v="2026-02-05T00:00:00"/>
    <x v="13"/>
    <x v="21"/>
    <n v="193.68"/>
  </r>
  <r>
    <x v="1"/>
    <d v="2026-02-13T00:00:00"/>
    <x v="27"/>
    <x v="10"/>
    <n v="193.68"/>
  </r>
  <r>
    <x v="2"/>
    <d v="2026-02-02T00:00:00"/>
    <x v="65"/>
    <x v="58"/>
    <n v="483.78"/>
  </r>
  <r>
    <x v="2"/>
    <d v="2026-02-19T00:00:00"/>
    <x v="70"/>
    <x v="28"/>
    <n v="165.4"/>
  </r>
  <r>
    <x v="5"/>
    <d v="2026-02-27T00:00:00"/>
    <x v="8"/>
    <x v="41"/>
    <n v="480.08"/>
  </r>
  <r>
    <x v="1"/>
    <d v="2026-02-05T00:00:00"/>
    <x v="36"/>
    <x v="59"/>
    <n v="266.83999999999997"/>
  </r>
  <r>
    <x v="2"/>
    <d v="2026-02-15T00:00:00"/>
    <x v="63"/>
    <x v="36"/>
    <n v="100.54"/>
  </r>
  <r>
    <x v="0"/>
    <d v="2026-02-24T00:00:00"/>
    <x v="71"/>
    <x v="20"/>
    <n v="336.41"/>
  </r>
  <r>
    <x v="5"/>
    <d v="2026-02-06T00:00:00"/>
    <x v="15"/>
    <x v="41"/>
    <n v="185.48"/>
  </r>
  <r>
    <x v="4"/>
    <d v="2026-03-02T00:00:00"/>
    <x v="72"/>
    <x v="60"/>
    <n v="83.8"/>
  </r>
  <r>
    <x v="4"/>
    <d v="2026-02-15T00:00:00"/>
    <x v="6"/>
    <x v="61"/>
    <n v="259.72000000000003"/>
  </r>
  <r>
    <x v="5"/>
    <d v="2026-02-23T00:00:00"/>
    <x v="4"/>
    <x v="58"/>
    <n v="143.22999999999999"/>
  </r>
  <r>
    <x v="2"/>
    <d v="2026-02-17T00:00:00"/>
    <x v="63"/>
    <x v="28"/>
    <n v="451.97"/>
  </r>
  <r>
    <x v="3"/>
    <d v="2026-02-04T00:00:00"/>
    <x v="73"/>
    <x v="55"/>
    <n v="361.46"/>
  </r>
  <r>
    <x v="4"/>
    <d v="2026-02-09T00:00:00"/>
    <x v="5"/>
    <x v="21"/>
    <n v="52.07"/>
  </r>
  <r>
    <x v="1"/>
    <d v="2026-02-03T00:00:00"/>
    <x v="74"/>
    <x v="57"/>
    <n v="354.18"/>
  </r>
  <r>
    <x v="1"/>
    <d v="2026-02-14T00:00:00"/>
    <x v="47"/>
    <x v="22"/>
    <n v="133.94"/>
  </r>
  <r>
    <x v="0"/>
    <d v="2026-02-03T00:00:00"/>
    <x v="55"/>
    <x v="58"/>
    <n v="497.49"/>
  </r>
  <r>
    <x v="1"/>
    <d v="2026-02-04T00:00:00"/>
    <x v="51"/>
    <x v="38"/>
    <n v="267.83"/>
  </r>
  <r>
    <x v="2"/>
    <d v="2026-02-24T00:00:00"/>
    <x v="21"/>
    <x v="17"/>
    <n v="179.42"/>
  </r>
  <r>
    <x v="1"/>
    <d v="2026-02-12T00:00:00"/>
    <x v="28"/>
    <x v="29"/>
    <n v="85.7"/>
  </r>
  <r>
    <x v="1"/>
    <d v="2026-02-20T00:00:00"/>
    <x v="75"/>
    <x v="58"/>
    <n v="192.23"/>
  </r>
  <r>
    <x v="5"/>
    <d v="2026-02-20T00:00:00"/>
    <x v="58"/>
    <x v="57"/>
    <n v="354.09"/>
  </r>
  <r>
    <x v="4"/>
    <d v="2026-02-22T00:00:00"/>
    <x v="21"/>
    <x v="44"/>
    <n v="176.51"/>
  </r>
  <r>
    <x v="3"/>
    <d v="2026-01-31T00:00:00"/>
    <x v="43"/>
    <x v="7"/>
    <n v="178.77"/>
  </r>
  <r>
    <x v="1"/>
    <d v="2026-02-16T00:00:00"/>
    <x v="40"/>
    <x v="62"/>
    <n v="431.24"/>
  </r>
  <r>
    <x v="1"/>
    <d v="2026-02-16T00:00:00"/>
    <x v="24"/>
    <x v="5"/>
    <n v="329.63"/>
  </r>
  <r>
    <x v="0"/>
    <d v="2026-02-18T00:00:00"/>
    <x v="55"/>
    <x v="52"/>
    <n v="288.85000000000002"/>
  </r>
  <r>
    <x v="2"/>
    <d v="2026-03-01T00:00:00"/>
    <x v="59"/>
    <x v="52"/>
    <n v="59.13"/>
  </r>
  <r>
    <x v="4"/>
    <d v="2026-02-20T00:00:00"/>
    <x v="20"/>
    <x v="25"/>
    <n v="321.89"/>
  </r>
  <r>
    <x v="3"/>
    <d v="2026-02-09T00:00:00"/>
    <x v="48"/>
    <x v="7"/>
    <n v="105.83"/>
  </r>
  <r>
    <x v="4"/>
    <d v="2026-02-02T00:00:00"/>
    <x v="61"/>
    <x v="41"/>
    <n v="376.59"/>
  </r>
  <r>
    <x v="4"/>
    <d v="2026-02-07T00:00:00"/>
    <x v="44"/>
    <x v="11"/>
    <n v="150.69999999999999"/>
  </r>
  <r>
    <x v="0"/>
    <d v="2026-02-28T00:00:00"/>
    <x v="1"/>
    <x v="63"/>
    <n v="245.94"/>
  </r>
  <r>
    <x v="5"/>
    <d v="2026-02-14T00:00:00"/>
    <x v="76"/>
    <x v="10"/>
    <n v="400.09"/>
  </r>
  <r>
    <x v="3"/>
    <d v="2026-02-09T00:00:00"/>
    <x v="77"/>
    <x v="30"/>
    <n v="219.23"/>
  </r>
  <r>
    <x v="4"/>
    <d v="2026-02-27T00:00:00"/>
    <x v="78"/>
    <x v="64"/>
    <n v="486.79"/>
  </r>
  <r>
    <x v="1"/>
    <d v="2026-03-01T00:00:00"/>
    <x v="77"/>
    <x v="16"/>
    <n v="243.59"/>
  </r>
  <r>
    <x v="2"/>
    <d v="2026-03-01T00:00:00"/>
    <x v="30"/>
    <x v="9"/>
    <n v="324.88"/>
  </r>
  <r>
    <x v="1"/>
    <d v="2026-02-27T00:00:00"/>
    <x v="37"/>
    <x v="16"/>
    <n v="352.88"/>
  </r>
  <r>
    <x v="2"/>
    <d v="2026-02-22T00:00:00"/>
    <x v="10"/>
    <x v="53"/>
    <n v="277.63"/>
  </r>
  <r>
    <x v="4"/>
    <d v="2026-02-10T00:00:00"/>
    <x v="2"/>
    <x v="14"/>
    <n v="355.39"/>
  </r>
  <r>
    <x v="3"/>
    <d v="2026-02-19T00:00:00"/>
    <x v="46"/>
    <x v="55"/>
    <n v="353.58"/>
  </r>
  <r>
    <x v="3"/>
    <d v="2026-02-20T00:00:00"/>
    <x v="9"/>
    <x v="32"/>
    <n v="121.91"/>
  </r>
  <r>
    <x v="1"/>
    <d v="2026-02-26T00:00:00"/>
    <x v="26"/>
    <x v="2"/>
    <n v="466.04"/>
  </r>
  <r>
    <x v="3"/>
    <d v="2026-02-08T00:00:00"/>
    <x v="11"/>
    <x v="58"/>
    <n v="199.71"/>
  </r>
  <r>
    <x v="0"/>
    <d v="2026-02-23T00:00:00"/>
    <x v="34"/>
    <x v="65"/>
    <n v="196.28"/>
  </r>
  <r>
    <x v="4"/>
    <d v="2026-02-05T00:00:00"/>
    <x v="41"/>
    <x v="5"/>
    <n v="172.8"/>
  </r>
  <r>
    <x v="2"/>
    <d v="2026-02-07T00:00:00"/>
    <x v="77"/>
    <x v="55"/>
    <n v="272.95"/>
  </r>
  <r>
    <x v="2"/>
    <d v="2026-02-02T00:00:00"/>
    <x v="6"/>
    <x v="36"/>
    <n v="427.86"/>
  </r>
  <r>
    <x v="3"/>
    <d v="2026-02-19T00:00:00"/>
    <x v="28"/>
    <x v="21"/>
    <n v="110.36"/>
  </r>
  <r>
    <x v="0"/>
    <d v="2026-02-16T00:00:00"/>
    <x v="32"/>
    <x v="66"/>
    <n v="278.62"/>
  </r>
  <r>
    <x v="0"/>
    <d v="2026-03-01T00:00:00"/>
    <x v="6"/>
    <x v="52"/>
    <n v="78.12"/>
  </r>
  <r>
    <x v="3"/>
    <d v="2026-02-25T00:00:00"/>
    <x v="77"/>
    <x v="21"/>
    <n v="334.16"/>
  </r>
  <r>
    <x v="2"/>
    <d v="2026-01-31T00:00:00"/>
    <x v="9"/>
    <x v="41"/>
    <n v="109.56"/>
  </r>
  <r>
    <x v="0"/>
    <d v="2026-02-28T00:00:00"/>
    <x v="72"/>
    <x v="67"/>
    <n v="358.68"/>
  </r>
  <r>
    <x v="3"/>
    <d v="2026-02-28T00:00:00"/>
    <x v="0"/>
    <x v="39"/>
    <n v="188.5"/>
  </r>
  <r>
    <x v="5"/>
    <d v="2026-02-23T00:00:00"/>
    <x v="61"/>
    <x v="15"/>
    <n v="88.85"/>
  </r>
  <r>
    <x v="2"/>
    <d v="2026-02-05T00:00:00"/>
    <x v="43"/>
    <x v="6"/>
    <n v="340.79"/>
  </r>
  <r>
    <x v="1"/>
    <d v="2026-02-02T00:00:00"/>
    <x v="18"/>
    <x v="9"/>
    <n v="66.64"/>
  </r>
  <r>
    <x v="5"/>
    <d v="2026-02-03T00:00:00"/>
    <x v="72"/>
    <x v="28"/>
    <n v="355.34"/>
  </r>
  <r>
    <x v="2"/>
    <d v="2026-02-15T00:00:00"/>
    <x v="68"/>
    <x v="17"/>
    <n v="304.48"/>
  </r>
  <r>
    <x v="3"/>
    <d v="2026-02-22T00:00:00"/>
    <x v="45"/>
    <x v="7"/>
    <n v="182.53"/>
  </r>
  <r>
    <x v="1"/>
    <d v="2026-02-19T00:00:00"/>
    <x v="55"/>
    <x v="7"/>
    <n v="100.91"/>
  </r>
  <r>
    <x v="4"/>
    <d v="2026-02-26T00:00:00"/>
    <x v="43"/>
    <x v="6"/>
    <n v="318.52"/>
  </r>
  <r>
    <x v="1"/>
    <d v="2026-02-01T00:00:00"/>
    <x v="30"/>
    <x v="16"/>
    <n v="416.18"/>
  </r>
  <r>
    <x v="4"/>
    <d v="2026-02-26T00:00:00"/>
    <x v="6"/>
    <x v="52"/>
    <n v="377.51"/>
  </r>
  <r>
    <x v="0"/>
    <d v="2026-02-12T00:00:00"/>
    <x v="14"/>
    <x v="35"/>
    <n v="482.01"/>
  </r>
  <r>
    <x v="2"/>
    <d v="2026-02-01T00:00:00"/>
    <x v="79"/>
    <x v="68"/>
    <n v="178.44"/>
  </r>
  <r>
    <x v="4"/>
    <d v="2026-02-12T00:00:00"/>
    <x v="30"/>
    <x v="6"/>
    <n v="97.76"/>
  </r>
  <r>
    <x v="0"/>
    <d v="2026-02-11T00:00:00"/>
    <x v="80"/>
    <x v="11"/>
    <n v="316.37"/>
  </r>
  <r>
    <x v="0"/>
    <d v="2026-02-02T00:00:00"/>
    <x v="3"/>
    <x v="35"/>
    <n v="180.68"/>
  </r>
  <r>
    <x v="5"/>
    <d v="2026-02-01T00:00:00"/>
    <x v="59"/>
    <x v="5"/>
    <n v="170.43"/>
  </r>
  <r>
    <x v="5"/>
    <d v="2026-02-16T00:00:00"/>
    <x v="12"/>
    <x v="37"/>
    <n v="77.13"/>
  </r>
  <r>
    <x v="2"/>
    <d v="2026-02-23T00:00:00"/>
    <x v="81"/>
    <x v="46"/>
    <n v="290.69"/>
  </r>
  <r>
    <x v="1"/>
    <d v="2026-02-21T00:00:00"/>
    <x v="4"/>
    <x v="33"/>
    <n v="263.11"/>
  </r>
  <r>
    <x v="2"/>
    <d v="2026-02-13T00:00:00"/>
    <x v="82"/>
    <x v="66"/>
    <n v="156.19"/>
  </r>
  <r>
    <x v="2"/>
    <d v="2026-02-18T00:00:00"/>
    <x v="25"/>
    <x v="69"/>
    <n v="336.64"/>
  </r>
  <r>
    <x v="4"/>
    <d v="2026-02-10T00:00:00"/>
    <x v="46"/>
    <x v="32"/>
    <n v="379.3"/>
  </r>
  <r>
    <x v="4"/>
    <d v="2026-02-06T00:00:00"/>
    <x v="50"/>
    <x v="57"/>
    <n v="290.83"/>
  </r>
  <r>
    <x v="0"/>
    <d v="2026-02-01T00:00:00"/>
    <x v="14"/>
    <x v="13"/>
    <n v="420.72"/>
  </r>
  <r>
    <x v="3"/>
    <d v="2026-02-10T00:00:00"/>
    <x v="83"/>
    <x v="24"/>
    <n v="296.10000000000002"/>
  </r>
  <r>
    <x v="1"/>
    <d v="2026-02-02T00:00:00"/>
    <x v="76"/>
    <x v="53"/>
    <n v="294.13"/>
  </r>
  <r>
    <x v="0"/>
    <d v="2026-02-17T00:00:00"/>
    <x v="55"/>
    <x v="22"/>
    <n v="345.72"/>
  </r>
  <r>
    <x v="2"/>
    <d v="2026-02-19T00:00:00"/>
    <x v="70"/>
    <x v="69"/>
    <n v="397.43"/>
  </r>
  <r>
    <x v="1"/>
    <d v="2026-02-03T00:00:00"/>
    <x v="4"/>
    <x v="6"/>
    <n v="113.4"/>
  </r>
  <r>
    <x v="5"/>
    <d v="2026-02-26T00:00:00"/>
    <x v="55"/>
    <x v="4"/>
    <n v="316.27"/>
  </r>
  <r>
    <x v="5"/>
    <d v="2026-02-20T00:00:00"/>
    <x v="79"/>
    <x v="70"/>
    <n v="143.16999999999999"/>
  </r>
  <r>
    <x v="4"/>
    <d v="2026-02-09T00:00:00"/>
    <x v="37"/>
    <x v="0"/>
    <n v="326.92"/>
  </r>
  <r>
    <x v="4"/>
    <d v="2026-02-07T00:00:00"/>
    <x v="71"/>
    <x v="43"/>
    <n v="165.8"/>
  </r>
  <r>
    <x v="2"/>
    <d v="2026-02-15T00:00:00"/>
    <x v="9"/>
    <x v="7"/>
    <n v="109.06"/>
  </r>
  <r>
    <x v="2"/>
    <d v="2026-02-16T00:00:00"/>
    <x v="64"/>
    <x v="4"/>
    <n v="406.45"/>
  </r>
  <r>
    <x v="0"/>
    <d v="2026-02-26T00:00:00"/>
    <x v="59"/>
    <x v="3"/>
    <n v="402.43"/>
  </r>
  <r>
    <x v="2"/>
    <d v="2026-02-12T00:00:00"/>
    <x v="55"/>
    <x v="38"/>
    <n v="463.38"/>
  </r>
  <r>
    <x v="0"/>
    <d v="2026-02-17T00:00:00"/>
    <x v="38"/>
    <x v="12"/>
    <n v="496.26"/>
  </r>
  <r>
    <x v="3"/>
    <d v="2026-02-13T00:00:00"/>
    <x v="84"/>
    <x v="29"/>
    <n v="327.73"/>
  </r>
  <r>
    <x v="3"/>
    <d v="2026-03-02T00:00:00"/>
    <x v="8"/>
    <x v="25"/>
    <n v="481.65"/>
  </r>
  <r>
    <x v="1"/>
    <d v="2026-02-14T00:00:00"/>
    <x v="23"/>
    <x v="71"/>
    <n v="313.45999999999998"/>
  </r>
  <r>
    <x v="0"/>
    <d v="2026-03-02T00:00:00"/>
    <x v="16"/>
    <x v="37"/>
    <n v="275.20999999999998"/>
  </r>
  <r>
    <x v="1"/>
    <d v="2026-02-28T00:00:00"/>
    <x v="73"/>
    <x v="38"/>
    <n v="341.55"/>
  </r>
  <r>
    <x v="4"/>
    <d v="2026-02-01T00:00:00"/>
    <x v="85"/>
    <x v="43"/>
    <n v="93.17"/>
  </r>
  <r>
    <x v="5"/>
    <d v="2026-02-21T00:00:00"/>
    <x v="86"/>
    <x v="52"/>
    <n v="310.23"/>
  </r>
  <r>
    <x v="2"/>
    <d v="2026-03-02T00:00:00"/>
    <x v="87"/>
    <x v="28"/>
    <n v="77.069999999999993"/>
  </r>
  <r>
    <x v="0"/>
    <d v="2026-02-08T00:00:00"/>
    <x v="14"/>
    <x v="33"/>
    <n v="220.01"/>
  </r>
  <r>
    <x v="3"/>
    <d v="2026-03-01T00:00:00"/>
    <x v="68"/>
    <x v="10"/>
    <n v="295.13"/>
  </r>
  <r>
    <x v="3"/>
    <d v="2026-02-18T00:00:00"/>
    <x v="79"/>
    <x v="72"/>
    <n v="66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D9DEC-556C-4BB2-8250-0F57504A79F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5">
    <pivotField axis="axisRow" showAll="0">
      <items count="7">
        <item x="4"/>
        <item x="1"/>
        <item x="3"/>
        <item x="5"/>
        <item x="0"/>
        <item x="2"/>
        <item t="default"/>
      </items>
    </pivotField>
    <pivotField numFmtId="14" showAll="0"/>
    <pivotField dataField="1" showAll="0">
      <items count="89">
        <item x="85"/>
        <item x="66"/>
        <item x="48"/>
        <item x="13"/>
        <item x="63"/>
        <item x="71"/>
        <item x="43"/>
        <item x="5"/>
        <item x="17"/>
        <item x="16"/>
        <item x="28"/>
        <item x="60"/>
        <item x="62"/>
        <item x="68"/>
        <item x="84"/>
        <item x="70"/>
        <item x="29"/>
        <item x="25"/>
        <item x="12"/>
        <item x="58"/>
        <item x="46"/>
        <item x="15"/>
        <item x="11"/>
        <item x="35"/>
        <item x="56"/>
        <item x="10"/>
        <item x="30"/>
        <item x="74"/>
        <item x="49"/>
        <item x="81"/>
        <item x="44"/>
        <item x="9"/>
        <item x="4"/>
        <item x="42"/>
        <item x="24"/>
        <item x="38"/>
        <item x="8"/>
        <item x="7"/>
        <item x="21"/>
        <item x="76"/>
        <item x="54"/>
        <item x="6"/>
        <item x="37"/>
        <item x="39"/>
        <item x="59"/>
        <item x="65"/>
        <item x="50"/>
        <item x="77"/>
        <item x="14"/>
        <item x="87"/>
        <item x="55"/>
        <item x="26"/>
        <item x="18"/>
        <item x="61"/>
        <item x="36"/>
        <item x="41"/>
        <item x="3"/>
        <item x="64"/>
        <item x="0"/>
        <item x="20"/>
        <item x="31"/>
        <item x="34"/>
        <item x="51"/>
        <item x="2"/>
        <item x="86"/>
        <item x="53"/>
        <item x="40"/>
        <item x="27"/>
        <item x="72"/>
        <item x="73"/>
        <item x="57"/>
        <item x="78"/>
        <item x="47"/>
        <item x="23"/>
        <item x="82"/>
        <item x="52"/>
        <item x="79"/>
        <item x="83"/>
        <item x="67"/>
        <item x="80"/>
        <item x="1"/>
        <item x="19"/>
        <item x="45"/>
        <item x="22"/>
        <item x="69"/>
        <item x="32"/>
        <item x="75"/>
        <item x="33"/>
        <item t="default"/>
      </items>
    </pivotField>
    <pivotField showAll="0">
      <items count="74">
        <item x="36"/>
        <item x="21"/>
        <item x="20"/>
        <item x="37"/>
        <item x="43"/>
        <item x="28"/>
        <item x="7"/>
        <item x="5"/>
        <item x="32"/>
        <item x="12"/>
        <item x="38"/>
        <item x="9"/>
        <item x="17"/>
        <item x="41"/>
        <item x="52"/>
        <item x="16"/>
        <item x="6"/>
        <item x="10"/>
        <item x="15"/>
        <item x="29"/>
        <item x="69"/>
        <item x="47"/>
        <item x="54"/>
        <item x="55"/>
        <item x="58"/>
        <item x="18"/>
        <item x="8"/>
        <item x="53"/>
        <item x="4"/>
        <item x="57"/>
        <item x="11"/>
        <item x="24"/>
        <item x="48"/>
        <item x="23"/>
        <item x="30"/>
        <item x="35"/>
        <item x="33"/>
        <item x="1"/>
        <item x="61"/>
        <item x="46"/>
        <item x="0"/>
        <item x="14"/>
        <item x="39"/>
        <item x="19"/>
        <item x="13"/>
        <item x="25"/>
        <item x="22"/>
        <item x="72"/>
        <item x="44"/>
        <item x="3"/>
        <item x="50"/>
        <item x="51"/>
        <item x="42"/>
        <item x="45"/>
        <item x="27"/>
        <item x="49"/>
        <item x="59"/>
        <item x="65"/>
        <item x="2"/>
        <item x="56"/>
        <item x="68"/>
        <item x="71"/>
        <item x="62"/>
        <item x="67"/>
        <item x="70"/>
        <item x="60"/>
        <item x="64"/>
        <item x="34"/>
        <item x="66"/>
        <item x="40"/>
        <item x="63"/>
        <item x="31"/>
        <item x="26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eads" fld="2" baseField="0" baseItem="0"/>
  </dataFields>
  <chartFormats count="3">
    <chartFormat chart="0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8848D-9428-41B4-ABE0-B185695874B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5">
    <pivotField axis="axisRow" showAll="0">
      <items count="7">
        <item x="4"/>
        <item x="1"/>
        <item x="3"/>
        <item x="5"/>
        <item x="0"/>
        <item x="2"/>
        <item t="default"/>
      </items>
    </pivotField>
    <pivotField numFmtId="14"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pen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96F72D-646E-486A-A790-FD05660C6256}" autoFormatId="16" applyNumberFormats="0" applyBorderFormats="0" applyFontFormats="0" applyPatternFormats="0" applyAlignmentFormats="0" applyWidthHeightFormats="0">
  <queryTableRefresh nextId="6">
    <queryTableFields count="5">
      <queryTableField id="1" name="CampaignName" tableColumnId="1"/>
      <queryTableField id="2" name="Date" tableColumnId="2"/>
      <queryTableField id="3" name="Leads" tableColumnId="3"/>
      <queryTableField id="4" name="Conversions" tableColumnId="4"/>
      <queryTableField id="5" name="Spen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93EB1-1AF0-4A04-84C6-C8625995DD29}" name="marketing_data" displayName="marketing_data" ref="A1:E251" tableType="queryTable" totalsRowShown="0">
  <autoFilter ref="A1:E251" xr:uid="{80793EB1-1AF0-4A04-84C6-C8625995DD29}"/>
  <tableColumns count="5">
    <tableColumn id="1" xr3:uid="{EFA10B3C-F97E-45A8-8969-A9C8A8EF0445}" uniqueName="1" name="CampaignName" queryTableFieldId="1" dataDxfId="1"/>
    <tableColumn id="2" xr3:uid="{AFF6E604-B086-4974-9F11-118CC3B1D999}" uniqueName="2" name="Date" queryTableFieldId="2" dataDxfId="0"/>
    <tableColumn id="3" xr3:uid="{C9BC6AAA-67B8-417C-99A8-9EFBCA50F803}" uniqueName="3" name="Leads" queryTableFieldId="3"/>
    <tableColumn id="4" xr3:uid="{E4A93372-0B5D-49C1-A116-877A9B7674AF}" uniqueName="4" name="Conversions" queryTableFieldId="4"/>
    <tableColumn id="5" xr3:uid="{D979BB45-87AE-4B8F-BF33-0A1B88945755}" uniqueName="5" name="Spen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EE50-3CFD-4AE8-B419-EDBB32D84224}">
  <dimension ref="A3:B10"/>
  <sheetViews>
    <sheetView workbookViewId="0">
      <selection activeCell="E35" sqref="E35"/>
    </sheetView>
  </sheetViews>
  <sheetFormatPr defaultRowHeight="14.5" x14ac:dyDescent="0.35"/>
  <cols>
    <col min="1" max="1" width="12.90625" bestFit="1" customWidth="1"/>
    <col min="2" max="2" width="12.54296875" bestFit="1" customWidth="1"/>
    <col min="3" max="88" width="16.1796875" bestFit="1" customWidth="1"/>
    <col min="89" max="90" width="10.7265625" bestFit="1" customWidth="1"/>
    <col min="91" max="176" width="22.90625" bestFit="1" customWidth="1"/>
    <col min="177" max="177" width="17.26953125" bestFit="1" customWidth="1"/>
    <col min="178" max="178" width="27.6328125" bestFit="1" customWidth="1"/>
    <col min="179" max="181" width="2.81640625" bestFit="1" customWidth="1"/>
    <col min="182" max="182" width="3.81640625" bestFit="1" customWidth="1"/>
    <col min="183" max="195" width="2.81640625" bestFit="1" customWidth="1"/>
    <col min="196" max="196" width="3.81640625" bestFit="1" customWidth="1"/>
    <col min="197" max="204" width="2.81640625" bestFit="1" customWidth="1"/>
    <col min="205" max="205" width="3.81640625" bestFit="1" customWidth="1"/>
    <col min="206" max="206" width="14.453125" bestFit="1" customWidth="1"/>
    <col min="207" max="207" width="10.7265625" bestFit="1" customWidth="1"/>
  </cols>
  <sheetData>
    <row r="3" spans="1:2" x14ac:dyDescent="0.35">
      <c r="A3" s="3" t="s">
        <v>13</v>
      </c>
      <c r="B3" t="s">
        <v>12</v>
      </c>
    </row>
    <row r="4" spans="1:2" x14ac:dyDescent="0.35">
      <c r="A4" s="4" t="s">
        <v>9</v>
      </c>
      <c r="B4" s="1">
        <v>2246</v>
      </c>
    </row>
    <row r="5" spans="1:2" x14ac:dyDescent="0.35">
      <c r="A5" s="4" t="s">
        <v>6</v>
      </c>
      <c r="B5" s="1">
        <v>2320</v>
      </c>
    </row>
    <row r="6" spans="1:2" x14ac:dyDescent="0.35">
      <c r="A6" s="4" t="s">
        <v>8</v>
      </c>
      <c r="B6" s="1">
        <v>2407</v>
      </c>
    </row>
    <row r="7" spans="1:2" x14ac:dyDescent="0.35">
      <c r="A7" s="4" t="s">
        <v>10</v>
      </c>
      <c r="B7" s="1">
        <v>1408</v>
      </c>
    </row>
    <row r="8" spans="1:2" x14ac:dyDescent="0.35">
      <c r="A8" s="4" t="s">
        <v>5</v>
      </c>
      <c r="B8" s="1">
        <v>2809</v>
      </c>
    </row>
    <row r="9" spans="1:2" x14ac:dyDescent="0.35">
      <c r="A9" s="4" t="s">
        <v>7</v>
      </c>
      <c r="B9" s="1">
        <v>2219</v>
      </c>
    </row>
    <row r="10" spans="1:2" x14ac:dyDescent="0.35">
      <c r="A10" s="4" t="s">
        <v>11</v>
      </c>
      <c r="B10" s="1">
        <v>13409</v>
      </c>
    </row>
  </sheetData>
  <sheetProtection algorithmName="SHA-512" hashValue="0Z6qdHbNjRBDzz/Xu+YOVKboiZERfbGJNE3aeH9gjIu6LRoz4EXLvHEMeQFmzd4yf/Yeuf0qjy65P76eKX06DQ==" saltValue="sFXlCfdxrvAx0AK0QQVXsg==" spinCount="100000" sheet="1" objects="1" scenarios="1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62E0-AA28-45FA-9579-4A935DF2E99D}">
  <dimension ref="A3:B10"/>
  <sheetViews>
    <sheetView workbookViewId="0">
      <selection activeCell="B7" sqref="B7"/>
    </sheetView>
  </sheetViews>
  <sheetFormatPr defaultRowHeight="14.5" x14ac:dyDescent="0.35"/>
  <cols>
    <col min="1" max="2" width="12.90625" bestFit="1" customWidth="1"/>
  </cols>
  <sheetData>
    <row r="3" spans="1:2" x14ac:dyDescent="0.35">
      <c r="A3" s="3" t="s">
        <v>13</v>
      </c>
      <c r="B3" t="s">
        <v>14</v>
      </c>
    </row>
    <row r="4" spans="1:2" x14ac:dyDescent="0.35">
      <c r="A4" s="4" t="s">
        <v>9</v>
      </c>
      <c r="B4" s="1">
        <v>9881.61</v>
      </c>
    </row>
    <row r="5" spans="1:2" x14ac:dyDescent="0.35">
      <c r="A5" s="4" t="s">
        <v>6</v>
      </c>
      <c r="B5" s="1">
        <v>11369.999999999996</v>
      </c>
    </row>
    <row r="6" spans="1:2" x14ac:dyDescent="0.35">
      <c r="A6" s="4" t="s">
        <v>8</v>
      </c>
      <c r="B6" s="1">
        <v>13167.449999999999</v>
      </c>
    </row>
    <row r="7" spans="1:2" x14ac:dyDescent="0.35">
      <c r="A7" s="4" t="s">
        <v>10</v>
      </c>
      <c r="B7" s="1">
        <v>6852.52</v>
      </c>
    </row>
    <row r="8" spans="1:2" x14ac:dyDescent="0.35">
      <c r="A8" s="4" t="s">
        <v>5</v>
      </c>
      <c r="B8" s="1">
        <v>14419.180000000004</v>
      </c>
    </row>
    <row r="9" spans="1:2" x14ac:dyDescent="0.35">
      <c r="A9" s="4" t="s">
        <v>7</v>
      </c>
      <c r="B9" s="1">
        <v>10511.86</v>
      </c>
    </row>
    <row r="10" spans="1:2" x14ac:dyDescent="0.35">
      <c r="A10" s="4" t="s">
        <v>11</v>
      </c>
      <c r="B10" s="1">
        <v>66202.62000000001</v>
      </c>
    </row>
  </sheetData>
  <sheetProtection algorithmName="SHA-512" hashValue="IdrBgSunP0Q/KfuaNGRgBa61qaWzYPl53BaBENXweouO7XIb2kLqA/fyvfosQorv42Vs1cGNh0eV9lTT5B7GpQ==" saltValue="zeDfOekOAvL6tW5x4YgXyg==" spinCount="100000" sheet="1" objects="1" scenarios="1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E0AA-BD3C-47EF-B44F-1EEBE98F6ECF}">
  <dimension ref="A1:E251"/>
  <sheetViews>
    <sheetView topLeftCell="A2" workbookViewId="0">
      <selection activeCell="C14" sqref="C14"/>
    </sheetView>
  </sheetViews>
  <sheetFormatPr defaultRowHeight="14.5" x14ac:dyDescent="0.35"/>
  <cols>
    <col min="1" max="1" width="17" bestFit="1" customWidth="1"/>
    <col min="2" max="2" width="10.08984375" bestFit="1" customWidth="1"/>
    <col min="3" max="3" width="8.26953125" bestFit="1" customWidth="1"/>
    <col min="4" max="4" width="14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2">
        <v>46072</v>
      </c>
      <c r="C2">
        <v>71</v>
      </c>
      <c r="D2">
        <v>40</v>
      </c>
      <c r="E2">
        <v>311.58</v>
      </c>
    </row>
    <row r="3" spans="1:5" x14ac:dyDescent="0.35">
      <c r="A3" s="1" t="s">
        <v>5</v>
      </c>
      <c r="B3" s="2">
        <v>46058</v>
      </c>
      <c r="C3">
        <v>93</v>
      </c>
      <c r="D3">
        <v>37</v>
      </c>
      <c r="E3">
        <v>137.91</v>
      </c>
    </row>
    <row r="4" spans="1:5" x14ac:dyDescent="0.35">
      <c r="A4" s="1" t="s">
        <v>6</v>
      </c>
      <c r="B4" s="2">
        <v>46053</v>
      </c>
      <c r="C4">
        <v>76</v>
      </c>
      <c r="D4">
        <v>63</v>
      </c>
      <c r="E4">
        <v>136.4</v>
      </c>
    </row>
    <row r="5" spans="1:5" x14ac:dyDescent="0.35">
      <c r="A5" s="1" t="s">
        <v>7</v>
      </c>
      <c r="B5" s="2">
        <v>46063</v>
      </c>
      <c r="C5">
        <v>68</v>
      </c>
      <c r="D5">
        <v>52</v>
      </c>
      <c r="E5">
        <v>411.67</v>
      </c>
    </row>
    <row r="6" spans="1:5" x14ac:dyDescent="0.35">
      <c r="A6" s="1" t="s">
        <v>5</v>
      </c>
      <c r="B6" s="2">
        <v>46079</v>
      </c>
      <c r="C6">
        <v>43</v>
      </c>
      <c r="D6">
        <v>28</v>
      </c>
      <c r="E6">
        <v>487.34</v>
      </c>
    </row>
    <row r="7" spans="1:5" x14ac:dyDescent="0.35">
      <c r="A7" s="1" t="s">
        <v>5</v>
      </c>
      <c r="B7" s="2">
        <v>46072</v>
      </c>
      <c r="C7">
        <v>76</v>
      </c>
      <c r="D7">
        <v>7</v>
      </c>
      <c r="E7">
        <v>167.99</v>
      </c>
    </row>
    <row r="8" spans="1:5" x14ac:dyDescent="0.35">
      <c r="A8" s="1" t="s">
        <v>7</v>
      </c>
      <c r="B8" s="2">
        <v>46079</v>
      </c>
      <c r="C8">
        <v>17</v>
      </c>
      <c r="D8">
        <v>16</v>
      </c>
      <c r="E8">
        <v>138.01</v>
      </c>
    </row>
    <row r="9" spans="1:5" x14ac:dyDescent="0.35">
      <c r="A9" s="1" t="s">
        <v>8</v>
      </c>
      <c r="B9" s="2">
        <v>46053</v>
      </c>
      <c r="C9">
        <v>53</v>
      </c>
      <c r="D9">
        <v>6</v>
      </c>
      <c r="E9">
        <v>440.95</v>
      </c>
    </row>
    <row r="10" spans="1:5" x14ac:dyDescent="0.35">
      <c r="A10" s="1" t="s">
        <v>8</v>
      </c>
      <c r="B10" s="2">
        <v>46080</v>
      </c>
      <c r="C10">
        <v>48</v>
      </c>
      <c r="D10">
        <v>26</v>
      </c>
      <c r="E10">
        <v>435.08</v>
      </c>
    </row>
    <row r="11" spans="1:5" x14ac:dyDescent="0.35">
      <c r="A11" s="1" t="s">
        <v>7</v>
      </c>
      <c r="B11" s="2">
        <v>46081</v>
      </c>
      <c r="C11">
        <v>47</v>
      </c>
      <c r="D11">
        <v>11</v>
      </c>
      <c r="E11">
        <v>73.45</v>
      </c>
    </row>
    <row r="12" spans="1:5" x14ac:dyDescent="0.35">
      <c r="A12" s="1" t="s">
        <v>7</v>
      </c>
      <c r="B12" s="2">
        <v>46056</v>
      </c>
      <c r="C12">
        <v>42</v>
      </c>
      <c r="D12">
        <v>17</v>
      </c>
      <c r="E12">
        <v>88.66</v>
      </c>
    </row>
    <row r="13" spans="1:5" x14ac:dyDescent="0.35">
      <c r="A13" s="1" t="s">
        <v>5</v>
      </c>
      <c r="B13" s="2">
        <v>46062</v>
      </c>
      <c r="C13">
        <v>36</v>
      </c>
      <c r="D13">
        <v>28</v>
      </c>
      <c r="E13">
        <v>359.24</v>
      </c>
    </row>
    <row r="14" spans="1:5" x14ac:dyDescent="0.35">
      <c r="A14" s="1" t="s">
        <v>9</v>
      </c>
      <c r="B14" s="2">
        <v>46066</v>
      </c>
      <c r="C14">
        <v>93</v>
      </c>
      <c r="D14">
        <v>30</v>
      </c>
      <c r="E14">
        <v>108.17</v>
      </c>
    </row>
    <row r="15" spans="1:5" x14ac:dyDescent="0.35">
      <c r="A15" s="1" t="s">
        <v>10</v>
      </c>
      <c r="B15" s="2">
        <v>46058</v>
      </c>
      <c r="C15">
        <v>33</v>
      </c>
      <c r="D15">
        <v>9</v>
      </c>
      <c r="E15">
        <v>416.36</v>
      </c>
    </row>
    <row r="16" spans="1:5" x14ac:dyDescent="0.35">
      <c r="A16" s="1" t="s">
        <v>10</v>
      </c>
      <c r="B16" s="2">
        <v>46071</v>
      </c>
      <c r="C16">
        <v>29</v>
      </c>
      <c r="D16">
        <v>16</v>
      </c>
      <c r="E16">
        <v>63.03</v>
      </c>
    </row>
    <row r="17" spans="1:5" x14ac:dyDescent="0.35">
      <c r="A17" s="1" t="s">
        <v>8</v>
      </c>
      <c r="B17" s="2">
        <v>46053</v>
      </c>
      <c r="C17">
        <v>13</v>
      </c>
      <c r="D17">
        <v>6</v>
      </c>
      <c r="E17">
        <v>471.78</v>
      </c>
    </row>
    <row r="18" spans="1:5" x14ac:dyDescent="0.35">
      <c r="A18" s="1" t="s">
        <v>9</v>
      </c>
      <c r="B18" s="2">
        <v>46069</v>
      </c>
      <c r="C18">
        <v>71</v>
      </c>
      <c r="D18">
        <v>44</v>
      </c>
      <c r="E18">
        <v>471.92</v>
      </c>
    </row>
    <row r="19" spans="1:5" x14ac:dyDescent="0.35">
      <c r="A19" s="1" t="s">
        <v>5</v>
      </c>
      <c r="B19" s="2">
        <v>46057</v>
      </c>
      <c r="C19">
        <v>60</v>
      </c>
      <c r="D19">
        <v>41</v>
      </c>
      <c r="E19">
        <v>442.43</v>
      </c>
    </row>
    <row r="20" spans="1:5" x14ac:dyDescent="0.35">
      <c r="A20" s="1" t="s">
        <v>7</v>
      </c>
      <c r="B20" s="2">
        <v>46075</v>
      </c>
      <c r="C20">
        <v>32</v>
      </c>
      <c r="D20">
        <v>18</v>
      </c>
      <c r="E20">
        <v>58.44</v>
      </c>
    </row>
    <row r="21" spans="1:5" x14ac:dyDescent="0.35">
      <c r="A21" s="1" t="s">
        <v>6</v>
      </c>
      <c r="B21" s="2">
        <v>46067</v>
      </c>
      <c r="C21">
        <v>19</v>
      </c>
      <c r="D21">
        <v>18</v>
      </c>
      <c r="E21">
        <v>324.27</v>
      </c>
    </row>
    <row r="22" spans="1:5" x14ac:dyDescent="0.35">
      <c r="A22" s="1" t="s">
        <v>5</v>
      </c>
      <c r="B22" s="2">
        <v>46068</v>
      </c>
      <c r="C22">
        <v>71</v>
      </c>
      <c r="D22">
        <v>16</v>
      </c>
      <c r="E22">
        <v>187.59</v>
      </c>
    </row>
    <row r="23" spans="1:5" x14ac:dyDescent="0.35">
      <c r="A23" s="1" t="s">
        <v>8</v>
      </c>
      <c r="B23" s="2">
        <v>46072</v>
      </c>
      <c r="C23">
        <v>18</v>
      </c>
      <c r="D23">
        <v>15</v>
      </c>
      <c r="E23">
        <v>435.53</v>
      </c>
    </row>
    <row r="24" spans="1:5" x14ac:dyDescent="0.35">
      <c r="A24" s="1" t="s">
        <v>5</v>
      </c>
      <c r="B24" s="2">
        <v>46061</v>
      </c>
      <c r="C24">
        <v>64</v>
      </c>
      <c r="D24">
        <v>12</v>
      </c>
      <c r="E24">
        <v>398.49</v>
      </c>
    </row>
    <row r="25" spans="1:5" x14ac:dyDescent="0.35">
      <c r="A25" s="1" t="s">
        <v>7</v>
      </c>
      <c r="B25" s="2">
        <v>46064</v>
      </c>
      <c r="C25">
        <v>94</v>
      </c>
      <c r="D25">
        <v>37</v>
      </c>
      <c r="E25">
        <v>135.05000000000001</v>
      </c>
    </row>
    <row r="26" spans="1:5" x14ac:dyDescent="0.35">
      <c r="A26" s="1" t="s">
        <v>5</v>
      </c>
      <c r="B26" s="2">
        <v>46074</v>
      </c>
      <c r="C26">
        <v>72</v>
      </c>
      <c r="D26">
        <v>63</v>
      </c>
      <c r="E26">
        <v>455.2</v>
      </c>
    </row>
    <row r="27" spans="1:5" x14ac:dyDescent="0.35">
      <c r="A27" s="1" t="s">
        <v>7</v>
      </c>
      <c r="B27" s="2">
        <v>46062</v>
      </c>
      <c r="C27">
        <v>49</v>
      </c>
      <c r="D27">
        <v>25</v>
      </c>
      <c r="E27">
        <v>478.34</v>
      </c>
    </row>
    <row r="28" spans="1:5" x14ac:dyDescent="0.35">
      <c r="A28" s="1" t="s">
        <v>8</v>
      </c>
      <c r="B28" s="2">
        <v>46060</v>
      </c>
      <c r="C28">
        <v>19</v>
      </c>
      <c r="D28">
        <v>15</v>
      </c>
      <c r="E28">
        <v>381.52</v>
      </c>
    </row>
    <row r="29" spans="1:5" x14ac:dyDescent="0.35">
      <c r="A29" s="1" t="s">
        <v>6</v>
      </c>
      <c r="B29" s="2">
        <v>46062</v>
      </c>
      <c r="C29">
        <v>71</v>
      </c>
      <c r="D29">
        <v>11</v>
      </c>
      <c r="E29">
        <v>498.7</v>
      </c>
    </row>
    <row r="30" spans="1:5" x14ac:dyDescent="0.35">
      <c r="A30" s="1" t="s">
        <v>10</v>
      </c>
      <c r="B30" s="2">
        <v>46070</v>
      </c>
      <c r="C30">
        <v>96</v>
      </c>
      <c r="D30">
        <v>17</v>
      </c>
      <c r="E30">
        <v>317.45</v>
      </c>
    </row>
    <row r="31" spans="1:5" x14ac:dyDescent="0.35">
      <c r="A31" s="1" t="s">
        <v>10</v>
      </c>
      <c r="B31" s="2">
        <v>46075</v>
      </c>
      <c r="C31">
        <v>86</v>
      </c>
      <c r="D31">
        <v>17</v>
      </c>
      <c r="E31">
        <v>474.52</v>
      </c>
    </row>
    <row r="32" spans="1:5" x14ac:dyDescent="0.35">
      <c r="A32" s="1" t="s">
        <v>6</v>
      </c>
      <c r="B32" s="2">
        <v>46071</v>
      </c>
      <c r="C32">
        <v>45</v>
      </c>
      <c r="D32">
        <v>43</v>
      </c>
      <c r="E32">
        <v>319.02999999999997</v>
      </c>
    </row>
    <row r="33" spans="1:5" x14ac:dyDescent="0.35">
      <c r="A33" s="1" t="s">
        <v>5</v>
      </c>
      <c r="B33" s="2">
        <v>46082</v>
      </c>
      <c r="C33">
        <v>28</v>
      </c>
      <c r="D33">
        <v>2</v>
      </c>
      <c r="E33">
        <v>393.74</v>
      </c>
    </row>
    <row r="34" spans="1:5" x14ac:dyDescent="0.35">
      <c r="A34" s="1" t="s">
        <v>10</v>
      </c>
      <c r="B34" s="2">
        <v>46058</v>
      </c>
      <c r="C34">
        <v>63</v>
      </c>
      <c r="D34">
        <v>1</v>
      </c>
      <c r="E34">
        <v>243.53</v>
      </c>
    </row>
    <row r="35" spans="1:5" x14ac:dyDescent="0.35">
      <c r="A35" s="1" t="s">
        <v>10</v>
      </c>
      <c r="B35" s="2">
        <v>46073</v>
      </c>
      <c r="C35">
        <v>80</v>
      </c>
      <c r="D35">
        <v>47</v>
      </c>
      <c r="E35">
        <v>181.61</v>
      </c>
    </row>
    <row r="36" spans="1:5" x14ac:dyDescent="0.35">
      <c r="A36" s="1" t="s">
        <v>9</v>
      </c>
      <c r="B36" s="2">
        <v>46078</v>
      </c>
      <c r="C36">
        <v>20</v>
      </c>
      <c r="D36">
        <v>15</v>
      </c>
      <c r="E36">
        <v>60.57</v>
      </c>
    </row>
    <row r="37" spans="1:5" x14ac:dyDescent="0.35">
      <c r="A37" s="1" t="s">
        <v>5</v>
      </c>
      <c r="B37" s="2">
        <v>46061</v>
      </c>
      <c r="C37">
        <v>80</v>
      </c>
      <c r="D37">
        <v>33</v>
      </c>
      <c r="E37">
        <v>159.35</v>
      </c>
    </row>
    <row r="38" spans="1:5" x14ac:dyDescent="0.35">
      <c r="A38" s="1" t="s">
        <v>10</v>
      </c>
      <c r="B38" s="2">
        <v>46058</v>
      </c>
      <c r="C38">
        <v>27</v>
      </c>
      <c r="D38">
        <v>18</v>
      </c>
      <c r="E38">
        <v>411.85</v>
      </c>
    </row>
    <row r="39" spans="1:5" x14ac:dyDescent="0.35">
      <c r="A39" s="1" t="s">
        <v>5</v>
      </c>
      <c r="B39" s="2">
        <v>46070</v>
      </c>
      <c r="C39">
        <v>37</v>
      </c>
      <c r="D39">
        <v>31</v>
      </c>
      <c r="E39">
        <v>71.41</v>
      </c>
    </row>
    <row r="40" spans="1:5" x14ac:dyDescent="0.35">
      <c r="A40" s="1" t="s">
        <v>8</v>
      </c>
      <c r="B40" s="2">
        <v>46060</v>
      </c>
      <c r="C40">
        <v>73</v>
      </c>
      <c r="D40">
        <v>46</v>
      </c>
      <c r="E40">
        <v>71.36</v>
      </c>
    </row>
    <row r="41" spans="1:5" x14ac:dyDescent="0.35">
      <c r="A41" s="1" t="s">
        <v>10</v>
      </c>
      <c r="B41" s="2">
        <v>46080</v>
      </c>
      <c r="C41">
        <v>98</v>
      </c>
      <c r="D41">
        <v>92</v>
      </c>
      <c r="E41">
        <v>95.95</v>
      </c>
    </row>
    <row r="42" spans="1:5" x14ac:dyDescent="0.35">
      <c r="A42" s="1" t="s">
        <v>7</v>
      </c>
      <c r="B42" s="2">
        <v>46062</v>
      </c>
      <c r="C42">
        <v>100</v>
      </c>
      <c r="D42">
        <v>57</v>
      </c>
      <c r="E42">
        <v>303.92</v>
      </c>
    </row>
    <row r="43" spans="1:5" x14ac:dyDescent="0.35">
      <c r="A43" s="1" t="s">
        <v>6</v>
      </c>
      <c r="B43" s="2">
        <v>46083</v>
      </c>
      <c r="C43">
        <v>20</v>
      </c>
      <c r="D43">
        <v>2</v>
      </c>
      <c r="E43">
        <v>224.35</v>
      </c>
    </row>
    <row r="44" spans="1:5" x14ac:dyDescent="0.35">
      <c r="A44" s="1" t="s">
        <v>8</v>
      </c>
      <c r="B44" s="2">
        <v>46071</v>
      </c>
      <c r="C44">
        <v>74</v>
      </c>
      <c r="D44">
        <v>52</v>
      </c>
      <c r="E44">
        <v>418.43</v>
      </c>
    </row>
    <row r="45" spans="1:5" x14ac:dyDescent="0.35">
      <c r="A45" s="1" t="s">
        <v>6</v>
      </c>
      <c r="B45" s="2">
        <v>46079</v>
      </c>
      <c r="C45">
        <v>34</v>
      </c>
      <c r="D45">
        <v>5</v>
      </c>
      <c r="E45">
        <v>203.67</v>
      </c>
    </row>
    <row r="46" spans="1:5" x14ac:dyDescent="0.35">
      <c r="A46" s="1" t="s">
        <v>10</v>
      </c>
      <c r="B46" s="2">
        <v>46079</v>
      </c>
      <c r="C46">
        <v>66</v>
      </c>
      <c r="D46">
        <v>19</v>
      </c>
      <c r="E46">
        <v>438.22</v>
      </c>
    </row>
    <row r="47" spans="1:5" x14ac:dyDescent="0.35">
      <c r="A47" s="1" t="s">
        <v>7</v>
      </c>
      <c r="B47" s="2">
        <v>46063</v>
      </c>
      <c r="C47">
        <v>54</v>
      </c>
      <c r="D47">
        <v>34</v>
      </c>
      <c r="E47">
        <v>165.09</v>
      </c>
    </row>
    <row r="48" spans="1:5" x14ac:dyDescent="0.35">
      <c r="A48" s="1" t="s">
        <v>5</v>
      </c>
      <c r="B48" s="2">
        <v>46071</v>
      </c>
      <c r="C48">
        <v>46</v>
      </c>
      <c r="D48">
        <v>1</v>
      </c>
      <c r="E48">
        <v>54.63</v>
      </c>
    </row>
    <row r="49" spans="1:5" x14ac:dyDescent="0.35">
      <c r="A49" s="1" t="s">
        <v>5</v>
      </c>
      <c r="B49" s="2">
        <v>46070</v>
      </c>
      <c r="C49">
        <v>96</v>
      </c>
      <c r="D49">
        <v>84</v>
      </c>
      <c r="E49">
        <v>348.99</v>
      </c>
    </row>
    <row r="50" spans="1:5" x14ac:dyDescent="0.35">
      <c r="A50" s="1" t="s">
        <v>9</v>
      </c>
      <c r="B50" s="2">
        <v>46064</v>
      </c>
      <c r="C50">
        <v>55</v>
      </c>
      <c r="D50">
        <v>8</v>
      </c>
      <c r="E50">
        <v>206.51</v>
      </c>
    </row>
    <row r="51" spans="1:5" x14ac:dyDescent="0.35">
      <c r="A51" s="1" t="s">
        <v>5</v>
      </c>
      <c r="B51" s="2">
        <v>46066</v>
      </c>
      <c r="C51">
        <v>45</v>
      </c>
      <c r="D51">
        <v>36</v>
      </c>
      <c r="E51">
        <v>484.06</v>
      </c>
    </row>
    <row r="52" spans="1:5" x14ac:dyDescent="0.35">
      <c r="A52" s="1" t="s">
        <v>8</v>
      </c>
      <c r="B52" s="2">
        <v>46074</v>
      </c>
      <c r="C52">
        <v>94</v>
      </c>
      <c r="D52">
        <v>76</v>
      </c>
      <c r="E52">
        <v>316.3</v>
      </c>
    </row>
    <row r="53" spans="1:5" x14ac:dyDescent="0.35">
      <c r="A53" s="1" t="s">
        <v>8</v>
      </c>
      <c r="B53" s="2">
        <v>46058</v>
      </c>
      <c r="C53">
        <v>48</v>
      </c>
      <c r="D53">
        <v>36</v>
      </c>
      <c r="E53">
        <v>437.81</v>
      </c>
    </row>
    <row r="54" spans="1:5" x14ac:dyDescent="0.35">
      <c r="A54" s="1" t="s">
        <v>5</v>
      </c>
      <c r="B54" s="2">
        <v>46053</v>
      </c>
      <c r="C54">
        <v>79</v>
      </c>
      <c r="D54">
        <v>41</v>
      </c>
      <c r="E54">
        <v>466.32</v>
      </c>
    </row>
    <row r="55" spans="1:5" x14ac:dyDescent="0.35">
      <c r="A55" s="1" t="s">
        <v>7</v>
      </c>
      <c r="B55" s="2">
        <v>46063</v>
      </c>
      <c r="C55">
        <v>67</v>
      </c>
      <c r="D55">
        <v>40</v>
      </c>
      <c r="E55">
        <v>110.27</v>
      </c>
    </row>
    <row r="56" spans="1:5" x14ac:dyDescent="0.35">
      <c r="A56" s="1" t="s">
        <v>6</v>
      </c>
      <c r="B56" s="2">
        <v>46073</v>
      </c>
      <c r="C56">
        <v>44</v>
      </c>
      <c r="D56">
        <v>31</v>
      </c>
      <c r="E56">
        <v>142.79</v>
      </c>
    </row>
    <row r="57" spans="1:5" x14ac:dyDescent="0.35">
      <c r="A57" s="1" t="s">
        <v>5</v>
      </c>
      <c r="B57" s="2">
        <v>46053</v>
      </c>
      <c r="C57">
        <v>93</v>
      </c>
      <c r="D57">
        <v>35</v>
      </c>
      <c r="E57">
        <v>355.81</v>
      </c>
    </row>
    <row r="58" spans="1:5" x14ac:dyDescent="0.35">
      <c r="A58" s="1" t="s">
        <v>6</v>
      </c>
      <c r="B58" s="2">
        <v>46068</v>
      </c>
      <c r="C58">
        <v>16</v>
      </c>
      <c r="D58">
        <v>6</v>
      </c>
      <c r="E58">
        <v>129.53</v>
      </c>
    </row>
    <row r="59" spans="1:5" x14ac:dyDescent="0.35">
      <c r="A59" s="1" t="s">
        <v>6</v>
      </c>
      <c r="B59" s="2">
        <v>46067</v>
      </c>
      <c r="C59">
        <v>49</v>
      </c>
      <c r="D59">
        <v>0</v>
      </c>
      <c r="E59">
        <v>381.11</v>
      </c>
    </row>
    <row r="60" spans="1:5" x14ac:dyDescent="0.35">
      <c r="A60" s="1" t="s">
        <v>8</v>
      </c>
      <c r="B60" s="2">
        <v>46078</v>
      </c>
      <c r="C60">
        <v>41</v>
      </c>
      <c r="D60">
        <v>7</v>
      </c>
      <c r="E60">
        <v>369.98</v>
      </c>
    </row>
    <row r="61" spans="1:5" x14ac:dyDescent="0.35">
      <c r="A61" s="1" t="s">
        <v>6</v>
      </c>
      <c r="B61" s="2">
        <v>46080</v>
      </c>
      <c r="C61">
        <v>36</v>
      </c>
      <c r="D61">
        <v>0</v>
      </c>
      <c r="E61">
        <v>150.03</v>
      </c>
    </row>
    <row r="62" spans="1:5" x14ac:dyDescent="0.35">
      <c r="A62" s="1" t="s">
        <v>9</v>
      </c>
      <c r="B62" s="2">
        <v>46055</v>
      </c>
      <c r="C62">
        <v>95</v>
      </c>
      <c r="D62">
        <v>34</v>
      </c>
      <c r="E62">
        <v>155.08000000000001</v>
      </c>
    </row>
    <row r="63" spans="1:5" x14ac:dyDescent="0.35">
      <c r="A63" s="1" t="s">
        <v>8</v>
      </c>
      <c r="B63" s="2">
        <v>46067</v>
      </c>
      <c r="C63">
        <v>45</v>
      </c>
      <c r="D63">
        <v>3</v>
      </c>
      <c r="E63">
        <v>284.7</v>
      </c>
    </row>
    <row r="64" spans="1:5" x14ac:dyDescent="0.35">
      <c r="A64" s="1" t="s">
        <v>9</v>
      </c>
      <c r="B64" s="2">
        <v>46083</v>
      </c>
      <c r="C64">
        <v>44</v>
      </c>
      <c r="D64">
        <v>28</v>
      </c>
      <c r="E64">
        <v>150.94</v>
      </c>
    </row>
    <row r="65" spans="1:5" x14ac:dyDescent="0.35">
      <c r="A65" s="1" t="s">
        <v>6</v>
      </c>
      <c r="B65" s="2">
        <v>46062</v>
      </c>
      <c r="C65">
        <v>31</v>
      </c>
      <c r="D65">
        <v>10</v>
      </c>
      <c r="E65">
        <v>62.93</v>
      </c>
    </row>
    <row r="66" spans="1:5" x14ac:dyDescent="0.35">
      <c r="A66" s="1" t="s">
        <v>5</v>
      </c>
      <c r="B66" s="2">
        <v>46067</v>
      </c>
      <c r="C66">
        <v>54</v>
      </c>
      <c r="D66">
        <v>31</v>
      </c>
      <c r="E66">
        <v>107.45</v>
      </c>
    </row>
    <row r="67" spans="1:5" x14ac:dyDescent="0.35">
      <c r="A67" s="1" t="s">
        <v>5</v>
      </c>
      <c r="B67" s="2">
        <v>46083</v>
      </c>
      <c r="C67">
        <v>85</v>
      </c>
      <c r="D67">
        <v>16</v>
      </c>
      <c r="E67">
        <v>464.67</v>
      </c>
    </row>
    <row r="68" spans="1:5" x14ac:dyDescent="0.35">
      <c r="A68" s="1" t="s">
        <v>7</v>
      </c>
      <c r="B68" s="2">
        <v>46082</v>
      </c>
      <c r="C68">
        <v>18</v>
      </c>
      <c r="D68">
        <v>15</v>
      </c>
      <c r="E68">
        <v>302.63</v>
      </c>
    </row>
    <row r="69" spans="1:5" x14ac:dyDescent="0.35">
      <c r="A69" s="1" t="s">
        <v>6</v>
      </c>
      <c r="B69" s="2">
        <v>46064</v>
      </c>
      <c r="C69">
        <v>12</v>
      </c>
      <c r="D69">
        <v>2</v>
      </c>
      <c r="E69">
        <v>296.37</v>
      </c>
    </row>
    <row r="70" spans="1:5" x14ac:dyDescent="0.35">
      <c r="A70" s="1" t="s">
        <v>5</v>
      </c>
      <c r="B70" s="2">
        <v>46057</v>
      </c>
      <c r="C70">
        <v>39</v>
      </c>
      <c r="D70">
        <v>18</v>
      </c>
      <c r="E70">
        <v>175.77</v>
      </c>
    </row>
    <row r="71" spans="1:5" x14ac:dyDescent="0.35">
      <c r="A71" s="1" t="s">
        <v>5</v>
      </c>
      <c r="B71" s="2">
        <v>46081</v>
      </c>
      <c r="C71">
        <v>42</v>
      </c>
      <c r="D71">
        <v>42</v>
      </c>
      <c r="E71">
        <v>301.08999999999997</v>
      </c>
    </row>
    <row r="72" spans="1:5" x14ac:dyDescent="0.35">
      <c r="A72" s="1" t="s">
        <v>8</v>
      </c>
      <c r="B72" s="2">
        <v>46080</v>
      </c>
      <c r="C72">
        <v>58</v>
      </c>
      <c r="D72">
        <v>44</v>
      </c>
      <c r="E72">
        <v>383.28</v>
      </c>
    </row>
    <row r="73" spans="1:5" x14ac:dyDescent="0.35">
      <c r="A73" s="1" t="s">
        <v>8</v>
      </c>
      <c r="B73" s="2">
        <v>46074</v>
      </c>
      <c r="C73">
        <v>29</v>
      </c>
      <c r="D73">
        <v>16</v>
      </c>
      <c r="E73">
        <v>391.18</v>
      </c>
    </row>
    <row r="74" spans="1:5" x14ac:dyDescent="0.35">
      <c r="A74" s="1" t="s">
        <v>5</v>
      </c>
      <c r="B74" s="2">
        <v>46059</v>
      </c>
      <c r="C74">
        <v>49</v>
      </c>
      <c r="D74">
        <v>15</v>
      </c>
      <c r="E74">
        <v>459.16</v>
      </c>
    </row>
    <row r="75" spans="1:5" x14ac:dyDescent="0.35">
      <c r="A75" s="1" t="s">
        <v>6</v>
      </c>
      <c r="B75" s="2">
        <v>46054</v>
      </c>
      <c r="C75">
        <v>12</v>
      </c>
      <c r="D75">
        <v>8</v>
      </c>
      <c r="E75">
        <v>369.48</v>
      </c>
    </row>
    <row r="76" spans="1:5" x14ac:dyDescent="0.35">
      <c r="A76" s="1" t="s">
        <v>8</v>
      </c>
      <c r="B76" s="2">
        <v>46078</v>
      </c>
      <c r="C76">
        <v>75</v>
      </c>
      <c r="D76">
        <v>42</v>
      </c>
      <c r="E76">
        <v>193.01</v>
      </c>
    </row>
    <row r="77" spans="1:5" x14ac:dyDescent="0.35">
      <c r="A77" s="1" t="s">
        <v>7</v>
      </c>
      <c r="B77" s="2">
        <v>46072</v>
      </c>
      <c r="C77">
        <v>33</v>
      </c>
      <c r="D77">
        <v>10</v>
      </c>
      <c r="E77">
        <v>141.85</v>
      </c>
    </row>
    <row r="78" spans="1:5" x14ac:dyDescent="0.35">
      <c r="A78" s="1" t="s">
        <v>9</v>
      </c>
      <c r="B78" s="2">
        <v>46070</v>
      </c>
      <c r="C78">
        <v>32</v>
      </c>
      <c r="D78">
        <v>15</v>
      </c>
      <c r="E78">
        <v>181.89</v>
      </c>
    </row>
    <row r="79" spans="1:5" x14ac:dyDescent="0.35">
      <c r="A79" s="1" t="s">
        <v>9</v>
      </c>
      <c r="B79" s="2">
        <v>46056</v>
      </c>
      <c r="C79">
        <v>72</v>
      </c>
      <c r="D79">
        <v>52</v>
      </c>
      <c r="E79">
        <v>266.39999999999998</v>
      </c>
    </row>
    <row r="80" spans="1:5" x14ac:dyDescent="0.35">
      <c r="A80" s="1" t="s">
        <v>6</v>
      </c>
      <c r="B80" s="2">
        <v>46066</v>
      </c>
      <c r="C80">
        <v>88</v>
      </c>
      <c r="D80">
        <v>81</v>
      </c>
      <c r="E80">
        <v>246.85</v>
      </c>
    </row>
    <row r="81" spans="1:5" x14ac:dyDescent="0.35">
      <c r="A81" s="1" t="s">
        <v>6</v>
      </c>
      <c r="B81" s="2">
        <v>46066</v>
      </c>
      <c r="C81">
        <v>78</v>
      </c>
      <c r="D81">
        <v>26</v>
      </c>
      <c r="E81">
        <v>281.56</v>
      </c>
    </row>
    <row r="82" spans="1:5" x14ac:dyDescent="0.35">
      <c r="A82" s="1" t="s">
        <v>5</v>
      </c>
      <c r="B82" s="2">
        <v>46079</v>
      </c>
      <c r="C82">
        <v>51</v>
      </c>
      <c r="D82">
        <v>13</v>
      </c>
      <c r="E82">
        <v>143.38999999999999</v>
      </c>
    </row>
    <row r="83" spans="1:5" x14ac:dyDescent="0.35">
      <c r="A83" s="1" t="s">
        <v>5</v>
      </c>
      <c r="B83" s="2">
        <v>46054</v>
      </c>
      <c r="C83">
        <v>66</v>
      </c>
      <c r="D83">
        <v>55</v>
      </c>
      <c r="E83">
        <v>423.98</v>
      </c>
    </row>
    <row r="84" spans="1:5" x14ac:dyDescent="0.35">
      <c r="A84" s="1" t="s">
        <v>8</v>
      </c>
      <c r="B84" s="2">
        <v>46077</v>
      </c>
      <c r="C84">
        <v>62</v>
      </c>
      <c r="D84">
        <v>40</v>
      </c>
      <c r="E84">
        <v>54.8</v>
      </c>
    </row>
    <row r="85" spans="1:5" x14ac:dyDescent="0.35">
      <c r="A85" s="1" t="s">
        <v>8</v>
      </c>
      <c r="B85" s="2">
        <v>46081</v>
      </c>
      <c r="C85">
        <v>35</v>
      </c>
      <c r="D85">
        <v>17</v>
      </c>
      <c r="E85">
        <v>360.02</v>
      </c>
    </row>
    <row r="86" spans="1:5" x14ac:dyDescent="0.35">
      <c r="A86" s="1" t="s">
        <v>6</v>
      </c>
      <c r="B86" s="2">
        <v>46081</v>
      </c>
      <c r="C86">
        <v>34</v>
      </c>
      <c r="D86">
        <v>0</v>
      </c>
      <c r="E86">
        <v>304.87</v>
      </c>
    </row>
    <row r="87" spans="1:5" x14ac:dyDescent="0.35">
      <c r="A87" s="1" t="s">
        <v>8</v>
      </c>
      <c r="B87" s="2">
        <v>46073</v>
      </c>
      <c r="C87">
        <v>45</v>
      </c>
      <c r="D87">
        <v>19</v>
      </c>
      <c r="E87">
        <v>399.21</v>
      </c>
    </row>
    <row r="88" spans="1:5" x14ac:dyDescent="0.35">
      <c r="A88" s="1" t="s">
        <v>9</v>
      </c>
      <c r="B88" s="2">
        <v>46056</v>
      </c>
      <c r="C88">
        <v>18</v>
      </c>
      <c r="D88">
        <v>4</v>
      </c>
      <c r="E88">
        <v>357.3</v>
      </c>
    </row>
    <row r="89" spans="1:5" x14ac:dyDescent="0.35">
      <c r="A89" s="1" t="s">
        <v>5</v>
      </c>
      <c r="B89" s="2">
        <v>46081</v>
      </c>
      <c r="C89">
        <v>60</v>
      </c>
      <c r="D89">
        <v>8</v>
      </c>
      <c r="E89">
        <v>274.87</v>
      </c>
    </row>
    <row r="90" spans="1:5" x14ac:dyDescent="0.35">
      <c r="A90" s="1" t="s">
        <v>9</v>
      </c>
      <c r="B90" s="2">
        <v>46061</v>
      </c>
      <c r="C90">
        <v>71</v>
      </c>
      <c r="D90">
        <v>3</v>
      </c>
      <c r="E90">
        <v>76.06</v>
      </c>
    </row>
    <row r="91" spans="1:5" x14ac:dyDescent="0.35">
      <c r="A91" s="1" t="s">
        <v>5</v>
      </c>
      <c r="B91" s="2">
        <v>46078</v>
      </c>
      <c r="C91">
        <v>42</v>
      </c>
      <c r="D91">
        <v>7</v>
      </c>
      <c r="E91">
        <v>313.63</v>
      </c>
    </row>
    <row r="92" spans="1:5" x14ac:dyDescent="0.35">
      <c r="A92" s="1" t="s">
        <v>7</v>
      </c>
      <c r="B92" s="2">
        <v>46076</v>
      </c>
      <c r="C92">
        <v>83</v>
      </c>
      <c r="D92">
        <v>1</v>
      </c>
      <c r="E92">
        <v>146.08000000000001</v>
      </c>
    </row>
    <row r="93" spans="1:5" x14ac:dyDescent="0.35">
      <c r="A93" s="1" t="s">
        <v>9</v>
      </c>
      <c r="B93" s="2">
        <v>46066</v>
      </c>
      <c r="C93">
        <v>76</v>
      </c>
      <c r="D93">
        <v>49</v>
      </c>
      <c r="E93">
        <v>303.55</v>
      </c>
    </row>
    <row r="94" spans="1:5" x14ac:dyDescent="0.35">
      <c r="A94" s="1" t="s">
        <v>6</v>
      </c>
      <c r="B94" s="2">
        <v>46076</v>
      </c>
      <c r="C94">
        <v>30</v>
      </c>
      <c r="D94">
        <v>13</v>
      </c>
      <c r="E94">
        <v>200.33</v>
      </c>
    </row>
    <row r="95" spans="1:5" x14ac:dyDescent="0.35">
      <c r="A95" s="1" t="s">
        <v>7</v>
      </c>
      <c r="B95" s="2">
        <v>46072</v>
      </c>
      <c r="C95">
        <v>63</v>
      </c>
      <c r="D95">
        <v>56</v>
      </c>
      <c r="E95">
        <v>131.13</v>
      </c>
    </row>
    <row r="96" spans="1:5" x14ac:dyDescent="0.35">
      <c r="A96" s="1" t="s">
        <v>7</v>
      </c>
      <c r="B96" s="2">
        <v>46063</v>
      </c>
      <c r="C96">
        <v>68</v>
      </c>
      <c r="D96">
        <v>11</v>
      </c>
      <c r="E96">
        <v>307.14999999999998</v>
      </c>
    </row>
    <row r="97" spans="1:5" x14ac:dyDescent="0.35">
      <c r="A97" s="1" t="s">
        <v>7</v>
      </c>
      <c r="B97" s="2">
        <v>46076</v>
      </c>
      <c r="C97">
        <v>45</v>
      </c>
      <c r="D97">
        <v>18</v>
      </c>
      <c r="E97">
        <v>497.78</v>
      </c>
    </row>
    <row r="98" spans="1:5" x14ac:dyDescent="0.35">
      <c r="A98" s="1" t="s">
        <v>8</v>
      </c>
      <c r="B98" s="2">
        <v>46058</v>
      </c>
      <c r="C98">
        <v>56</v>
      </c>
      <c r="D98">
        <v>40</v>
      </c>
      <c r="E98">
        <v>184.79</v>
      </c>
    </row>
    <row r="99" spans="1:5" x14ac:dyDescent="0.35">
      <c r="A99" s="1" t="s">
        <v>8</v>
      </c>
      <c r="B99" s="2">
        <v>46057</v>
      </c>
      <c r="C99">
        <v>100</v>
      </c>
      <c r="D99">
        <v>39</v>
      </c>
      <c r="E99">
        <v>179.52</v>
      </c>
    </row>
    <row r="100" spans="1:5" x14ac:dyDescent="0.35">
      <c r="A100" s="1" t="s">
        <v>9</v>
      </c>
      <c r="B100" s="2">
        <v>46082</v>
      </c>
      <c r="C100">
        <v>44</v>
      </c>
      <c r="D100">
        <v>25</v>
      </c>
      <c r="E100">
        <v>62.02</v>
      </c>
    </row>
    <row r="101" spans="1:5" x14ac:dyDescent="0.35">
      <c r="A101" s="1" t="s">
        <v>9</v>
      </c>
      <c r="B101" s="2">
        <v>46063</v>
      </c>
      <c r="C101">
        <v>22</v>
      </c>
      <c r="D101">
        <v>12</v>
      </c>
      <c r="E101">
        <v>142.74</v>
      </c>
    </row>
    <row r="102" spans="1:5" x14ac:dyDescent="0.35">
      <c r="A102" s="1" t="s">
        <v>5</v>
      </c>
      <c r="B102" s="2">
        <v>46062</v>
      </c>
      <c r="C102">
        <v>20</v>
      </c>
      <c r="D102">
        <v>17</v>
      </c>
      <c r="E102">
        <v>206.35</v>
      </c>
    </row>
    <row r="103" spans="1:5" x14ac:dyDescent="0.35">
      <c r="A103" s="1" t="s">
        <v>10</v>
      </c>
      <c r="B103" s="2">
        <v>46056</v>
      </c>
      <c r="C103">
        <v>30</v>
      </c>
      <c r="D103">
        <v>21</v>
      </c>
      <c r="E103">
        <v>141.32</v>
      </c>
    </row>
    <row r="104" spans="1:5" x14ac:dyDescent="0.35">
      <c r="A104" s="1" t="s">
        <v>6</v>
      </c>
      <c r="B104" s="2">
        <v>46061</v>
      </c>
      <c r="C104">
        <v>44</v>
      </c>
      <c r="D104">
        <v>32</v>
      </c>
      <c r="E104">
        <v>157.53</v>
      </c>
    </row>
    <row r="105" spans="1:5" x14ac:dyDescent="0.35">
      <c r="A105" s="1" t="s">
        <v>8</v>
      </c>
      <c r="B105" s="2">
        <v>46062</v>
      </c>
      <c r="C105">
        <v>65</v>
      </c>
      <c r="D105">
        <v>58</v>
      </c>
      <c r="E105">
        <v>183.17</v>
      </c>
    </row>
    <row r="106" spans="1:5" x14ac:dyDescent="0.35">
      <c r="A106" s="1" t="s">
        <v>10</v>
      </c>
      <c r="B106" s="2">
        <v>46062</v>
      </c>
      <c r="C106">
        <v>23</v>
      </c>
      <c r="D106">
        <v>16</v>
      </c>
      <c r="E106">
        <v>351.09</v>
      </c>
    </row>
    <row r="107" spans="1:5" x14ac:dyDescent="0.35">
      <c r="A107" s="1" t="s">
        <v>8</v>
      </c>
      <c r="B107" s="2">
        <v>46065</v>
      </c>
      <c r="C107">
        <v>56</v>
      </c>
      <c r="D107">
        <v>41</v>
      </c>
      <c r="E107">
        <v>412.5</v>
      </c>
    </row>
    <row r="108" spans="1:5" x14ac:dyDescent="0.35">
      <c r="A108" s="1" t="s">
        <v>10</v>
      </c>
      <c r="B108" s="2">
        <v>46062</v>
      </c>
      <c r="C108">
        <v>45</v>
      </c>
      <c r="D108">
        <v>34</v>
      </c>
      <c r="E108">
        <v>96.89</v>
      </c>
    </row>
    <row r="109" spans="1:5" x14ac:dyDescent="0.35">
      <c r="A109" s="1" t="s">
        <v>9</v>
      </c>
      <c r="B109" s="2">
        <v>46057</v>
      </c>
      <c r="C109">
        <v>86</v>
      </c>
      <c r="D109">
        <v>37</v>
      </c>
      <c r="E109">
        <v>350.17</v>
      </c>
    </row>
    <row r="110" spans="1:5" x14ac:dyDescent="0.35">
      <c r="A110" s="1" t="s">
        <v>8</v>
      </c>
      <c r="B110" s="2">
        <v>46068</v>
      </c>
      <c r="C110">
        <v>74</v>
      </c>
      <c r="D110">
        <v>53</v>
      </c>
      <c r="E110">
        <v>277.62</v>
      </c>
    </row>
    <row r="111" spans="1:5" x14ac:dyDescent="0.35">
      <c r="A111" s="1" t="s">
        <v>6</v>
      </c>
      <c r="B111" s="2">
        <v>46054</v>
      </c>
      <c r="C111">
        <v>43</v>
      </c>
      <c r="D111">
        <v>13</v>
      </c>
      <c r="E111">
        <v>462.23</v>
      </c>
    </row>
    <row r="112" spans="1:5" x14ac:dyDescent="0.35">
      <c r="A112" s="1" t="s">
        <v>5</v>
      </c>
      <c r="B112" s="2">
        <v>46064</v>
      </c>
      <c r="C112">
        <v>32</v>
      </c>
      <c r="D112">
        <v>8</v>
      </c>
      <c r="E112">
        <v>112.52</v>
      </c>
    </row>
    <row r="113" spans="1:5" x14ac:dyDescent="0.35">
      <c r="A113" s="1" t="s">
        <v>8</v>
      </c>
      <c r="B113" s="2">
        <v>46068</v>
      </c>
      <c r="C113">
        <v>19</v>
      </c>
      <c r="D113">
        <v>0</v>
      </c>
      <c r="E113">
        <v>345.1</v>
      </c>
    </row>
    <row r="114" spans="1:5" x14ac:dyDescent="0.35">
      <c r="A114" s="1" t="s">
        <v>5</v>
      </c>
      <c r="B114" s="2">
        <v>46071</v>
      </c>
      <c r="C114">
        <v>93</v>
      </c>
      <c r="D114">
        <v>31</v>
      </c>
      <c r="E114">
        <v>73.58</v>
      </c>
    </row>
    <row r="115" spans="1:5" x14ac:dyDescent="0.35">
      <c r="A115" s="1" t="s">
        <v>7</v>
      </c>
      <c r="B115" s="2">
        <v>46077</v>
      </c>
      <c r="C115">
        <v>55</v>
      </c>
      <c r="D115">
        <v>32</v>
      </c>
      <c r="E115">
        <v>199.52</v>
      </c>
    </row>
    <row r="116" spans="1:5" x14ac:dyDescent="0.35">
      <c r="A116" s="1" t="s">
        <v>5</v>
      </c>
      <c r="B116" s="2">
        <v>46077</v>
      </c>
      <c r="C116">
        <v>14</v>
      </c>
      <c r="D116">
        <v>9</v>
      </c>
      <c r="E116">
        <v>478.66</v>
      </c>
    </row>
    <row r="117" spans="1:5" x14ac:dyDescent="0.35">
      <c r="A117" s="1" t="s">
        <v>9</v>
      </c>
      <c r="B117" s="2">
        <v>46065</v>
      </c>
      <c r="C117">
        <v>66</v>
      </c>
      <c r="D117">
        <v>54</v>
      </c>
      <c r="E117">
        <v>398.05</v>
      </c>
    </row>
    <row r="118" spans="1:5" x14ac:dyDescent="0.35">
      <c r="A118" s="1" t="s">
        <v>9</v>
      </c>
      <c r="B118" s="2">
        <v>46079</v>
      </c>
      <c r="C118">
        <v>63</v>
      </c>
      <c r="D118">
        <v>10</v>
      </c>
      <c r="E118">
        <v>344.49</v>
      </c>
    </row>
    <row r="119" spans="1:5" x14ac:dyDescent="0.35">
      <c r="A119" s="1" t="s">
        <v>6</v>
      </c>
      <c r="B119" s="2">
        <v>46053</v>
      </c>
      <c r="C119">
        <v>17</v>
      </c>
      <c r="D119">
        <v>6</v>
      </c>
      <c r="E119">
        <v>141.63</v>
      </c>
    </row>
    <row r="120" spans="1:5" x14ac:dyDescent="0.35">
      <c r="A120" s="1" t="s">
        <v>6</v>
      </c>
      <c r="B120" s="2">
        <v>46072</v>
      </c>
      <c r="C120">
        <v>34</v>
      </c>
      <c r="D120">
        <v>17</v>
      </c>
      <c r="E120">
        <v>64.11</v>
      </c>
    </row>
    <row r="121" spans="1:5" x14ac:dyDescent="0.35">
      <c r="A121" s="1" t="s">
        <v>9</v>
      </c>
      <c r="B121" s="2">
        <v>46058</v>
      </c>
      <c r="C121">
        <v>49</v>
      </c>
      <c r="D121">
        <v>14</v>
      </c>
      <c r="E121">
        <v>63.82</v>
      </c>
    </row>
    <row r="122" spans="1:5" x14ac:dyDescent="0.35">
      <c r="A122" s="1" t="s">
        <v>9</v>
      </c>
      <c r="B122" s="2">
        <v>46065</v>
      </c>
      <c r="C122">
        <v>69</v>
      </c>
      <c r="D122">
        <v>27</v>
      </c>
      <c r="E122">
        <v>407.49</v>
      </c>
    </row>
    <row r="123" spans="1:5" x14ac:dyDescent="0.35">
      <c r="A123" s="1" t="s">
        <v>8</v>
      </c>
      <c r="B123" s="2">
        <v>46063</v>
      </c>
      <c r="C123">
        <v>31</v>
      </c>
      <c r="D123">
        <v>22</v>
      </c>
      <c r="E123">
        <v>61.71</v>
      </c>
    </row>
    <row r="124" spans="1:5" x14ac:dyDescent="0.35">
      <c r="A124" s="1" t="s">
        <v>7</v>
      </c>
      <c r="B124" s="2">
        <v>46069</v>
      </c>
      <c r="C124">
        <v>93</v>
      </c>
      <c r="D124">
        <v>13</v>
      </c>
      <c r="E124">
        <v>290.79000000000002</v>
      </c>
    </row>
    <row r="125" spans="1:5" x14ac:dyDescent="0.35">
      <c r="A125" s="1" t="s">
        <v>8</v>
      </c>
      <c r="B125" s="2">
        <v>46055</v>
      </c>
      <c r="C125">
        <v>57</v>
      </c>
      <c r="D125">
        <v>14</v>
      </c>
      <c r="E125">
        <v>271.26</v>
      </c>
    </row>
    <row r="126" spans="1:5" x14ac:dyDescent="0.35">
      <c r="A126" s="1" t="s">
        <v>8</v>
      </c>
      <c r="B126" s="2">
        <v>46067</v>
      </c>
      <c r="C126">
        <v>45</v>
      </c>
      <c r="D126">
        <v>13</v>
      </c>
      <c r="E126">
        <v>128.19999999999999</v>
      </c>
    </row>
    <row r="127" spans="1:5" x14ac:dyDescent="0.35">
      <c r="A127" s="1" t="s">
        <v>6</v>
      </c>
      <c r="B127" s="2">
        <v>46066</v>
      </c>
      <c r="C127">
        <v>45</v>
      </c>
      <c r="D127">
        <v>14</v>
      </c>
      <c r="E127">
        <v>153.80000000000001</v>
      </c>
    </row>
    <row r="128" spans="1:5" x14ac:dyDescent="0.35">
      <c r="A128" s="1" t="s">
        <v>9</v>
      </c>
      <c r="B128" s="2">
        <v>46075</v>
      </c>
      <c r="C128">
        <v>60</v>
      </c>
      <c r="D128">
        <v>22</v>
      </c>
      <c r="E128">
        <v>296.91000000000003</v>
      </c>
    </row>
    <row r="129" spans="1:5" x14ac:dyDescent="0.35">
      <c r="A129" s="1" t="s">
        <v>5</v>
      </c>
      <c r="B129" s="2">
        <v>46074</v>
      </c>
      <c r="C129">
        <v>11</v>
      </c>
      <c r="D129">
        <v>5</v>
      </c>
      <c r="E129">
        <v>182.18</v>
      </c>
    </row>
    <row r="130" spans="1:5" x14ac:dyDescent="0.35">
      <c r="A130" s="1" t="s">
        <v>7</v>
      </c>
      <c r="B130" s="2">
        <v>46070</v>
      </c>
      <c r="C130">
        <v>91</v>
      </c>
      <c r="D130">
        <v>4</v>
      </c>
      <c r="E130">
        <v>365.07</v>
      </c>
    </row>
    <row r="131" spans="1:5" x14ac:dyDescent="0.35">
      <c r="A131" s="1" t="s">
        <v>6</v>
      </c>
      <c r="B131" s="2">
        <v>46082</v>
      </c>
      <c r="C131">
        <v>36</v>
      </c>
      <c r="D131">
        <v>22</v>
      </c>
      <c r="E131">
        <v>84.14</v>
      </c>
    </row>
    <row r="132" spans="1:5" x14ac:dyDescent="0.35">
      <c r="A132" s="1" t="s">
        <v>10</v>
      </c>
      <c r="B132" s="2">
        <v>46064</v>
      </c>
      <c r="C132">
        <v>43</v>
      </c>
      <c r="D132">
        <v>23</v>
      </c>
      <c r="E132">
        <v>151.43</v>
      </c>
    </row>
    <row r="133" spans="1:5" x14ac:dyDescent="0.35">
      <c r="A133" s="1" t="s">
        <v>9</v>
      </c>
      <c r="B133" s="2">
        <v>46072</v>
      </c>
      <c r="C133">
        <v>72</v>
      </c>
      <c r="D133">
        <v>39</v>
      </c>
      <c r="E133">
        <v>413.83</v>
      </c>
    </row>
    <row r="134" spans="1:5" x14ac:dyDescent="0.35">
      <c r="A134" s="1" t="s">
        <v>7</v>
      </c>
      <c r="B134" s="2">
        <v>46075</v>
      </c>
      <c r="C134">
        <v>16</v>
      </c>
      <c r="D134">
        <v>3</v>
      </c>
      <c r="E134">
        <v>51.34</v>
      </c>
    </row>
    <row r="135" spans="1:5" x14ac:dyDescent="0.35">
      <c r="A135" s="1" t="s">
        <v>8</v>
      </c>
      <c r="B135" s="2">
        <v>46080</v>
      </c>
      <c r="C135">
        <v>48</v>
      </c>
      <c r="D135">
        <v>19</v>
      </c>
      <c r="E135">
        <v>148.43</v>
      </c>
    </row>
    <row r="136" spans="1:5" x14ac:dyDescent="0.35">
      <c r="A136" s="1" t="s">
        <v>8</v>
      </c>
      <c r="B136" s="2">
        <v>46080</v>
      </c>
      <c r="C136">
        <v>96</v>
      </c>
      <c r="D136">
        <v>41</v>
      </c>
      <c r="E136">
        <v>323.48</v>
      </c>
    </row>
    <row r="137" spans="1:5" x14ac:dyDescent="0.35">
      <c r="A137" s="1" t="s">
        <v>8</v>
      </c>
      <c r="B137" s="2">
        <v>46080</v>
      </c>
      <c r="C137">
        <v>24</v>
      </c>
      <c r="D137">
        <v>4</v>
      </c>
      <c r="E137">
        <v>476.91</v>
      </c>
    </row>
    <row r="138" spans="1:5" x14ac:dyDescent="0.35">
      <c r="A138" s="1" t="s">
        <v>7</v>
      </c>
      <c r="B138" s="2">
        <v>46061</v>
      </c>
      <c r="C138">
        <v>97</v>
      </c>
      <c r="D138">
        <v>36</v>
      </c>
      <c r="E138">
        <v>201.88</v>
      </c>
    </row>
    <row r="139" spans="1:5" x14ac:dyDescent="0.35">
      <c r="A139" s="1" t="s">
        <v>6</v>
      </c>
      <c r="B139" s="2">
        <v>46064</v>
      </c>
      <c r="C139">
        <v>68</v>
      </c>
      <c r="D139">
        <v>39</v>
      </c>
      <c r="E139">
        <v>92.77</v>
      </c>
    </row>
    <row r="140" spans="1:5" x14ac:dyDescent="0.35">
      <c r="A140" s="1" t="s">
        <v>9</v>
      </c>
      <c r="B140" s="2">
        <v>46070</v>
      </c>
      <c r="C140">
        <v>94</v>
      </c>
      <c r="D140">
        <v>64</v>
      </c>
      <c r="E140">
        <v>96.76</v>
      </c>
    </row>
    <row r="141" spans="1:5" x14ac:dyDescent="0.35">
      <c r="A141" s="1" t="s">
        <v>9</v>
      </c>
      <c r="B141" s="2">
        <v>46056</v>
      </c>
      <c r="C141">
        <v>95</v>
      </c>
      <c r="D141">
        <v>29</v>
      </c>
      <c r="E141">
        <v>480.87</v>
      </c>
    </row>
    <row r="142" spans="1:5" x14ac:dyDescent="0.35">
      <c r="A142" s="1" t="s">
        <v>8</v>
      </c>
      <c r="B142" s="2">
        <v>46055</v>
      </c>
      <c r="C142">
        <v>98</v>
      </c>
      <c r="D142">
        <v>8</v>
      </c>
      <c r="E142">
        <v>313.13</v>
      </c>
    </row>
    <row r="143" spans="1:5" x14ac:dyDescent="0.35">
      <c r="A143" s="1" t="s">
        <v>6</v>
      </c>
      <c r="B143" s="2">
        <v>46069</v>
      </c>
      <c r="C143">
        <v>55</v>
      </c>
      <c r="D143">
        <v>47</v>
      </c>
      <c r="E143">
        <v>419.27</v>
      </c>
    </row>
    <row r="144" spans="1:5" x14ac:dyDescent="0.35">
      <c r="A144" s="1" t="s">
        <v>10</v>
      </c>
      <c r="B144" s="2">
        <v>46072</v>
      </c>
      <c r="C144">
        <v>28</v>
      </c>
      <c r="D144">
        <v>13</v>
      </c>
      <c r="E144">
        <v>444.88</v>
      </c>
    </row>
    <row r="145" spans="1:5" x14ac:dyDescent="0.35">
      <c r="A145" s="1" t="s">
        <v>6</v>
      </c>
      <c r="B145" s="2">
        <v>46068</v>
      </c>
      <c r="C145">
        <v>53</v>
      </c>
      <c r="D145">
        <v>2</v>
      </c>
      <c r="E145">
        <v>295.08999999999997</v>
      </c>
    </row>
    <row r="146" spans="1:5" x14ac:dyDescent="0.35">
      <c r="A146" s="1" t="s">
        <v>8</v>
      </c>
      <c r="B146" s="2">
        <v>46058</v>
      </c>
      <c r="C146">
        <v>13</v>
      </c>
      <c r="D146">
        <v>1</v>
      </c>
      <c r="E146">
        <v>193.68</v>
      </c>
    </row>
    <row r="147" spans="1:5" x14ac:dyDescent="0.35">
      <c r="A147" s="1" t="s">
        <v>6</v>
      </c>
      <c r="B147" s="2">
        <v>46066</v>
      </c>
      <c r="C147">
        <v>80</v>
      </c>
      <c r="D147">
        <v>17</v>
      </c>
      <c r="E147">
        <v>193.68</v>
      </c>
    </row>
    <row r="148" spans="1:5" x14ac:dyDescent="0.35">
      <c r="A148" s="1" t="s">
        <v>7</v>
      </c>
      <c r="B148" s="2">
        <v>46055</v>
      </c>
      <c r="C148">
        <v>57</v>
      </c>
      <c r="D148">
        <v>24</v>
      </c>
      <c r="E148">
        <v>483.78</v>
      </c>
    </row>
    <row r="149" spans="1:5" x14ac:dyDescent="0.35">
      <c r="A149" s="1" t="s">
        <v>7</v>
      </c>
      <c r="B149" s="2">
        <v>46072</v>
      </c>
      <c r="C149">
        <v>26</v>
      </c>
      <c r="D149">
        <v>5</v>
      </c>
      <c r="E149">
        <v>165.4</v>
      </c>
    </row>
    <row r="150" spans="1:5" x14ac:dyDescent="0.35">
      <c r="A150" s="1" t="s">
        <v>10</v>
      </c>
      <c r="B150" s="2">
        <v>46080</v>
      </c>
      <c r="C150">
        <v>47</v>
      </c>
      <c r="D150">
        <v>13</v>
      </c>
      <c r="E150">
        <v>480.08</v>
      </c>
    </row>
    <row r="151" spans="1:5" x14ac:dyDescent="0.35">
      <c r="A151" s="1" t="s">
        <v>6</v>
      </c>
      <c r="B151" s="2">
        <v>46058</v>
      </c>
      <c r="C151">
        <v>66</v>
      </c>
      <c r="D151">
        <v>59</v>
      </c>
      <c r="E151">
        <v>266.83999999999997</v>
      </c>
    </row>
    <row r="152" spans="1:5" x14ac:dyDescent="0.35">
      <c r="A152" s="1" t="s">
        <v>7</v>
      </c>
      <c r="B152" s="2">
        <v>46068</v>
      </c>
      <c r="C152">
        <v>14</v>
      </c>
      <c r="D152">
        <v>0</v>
      </c>
      <c r="E152">
        <v>100.54</v>
      </c>
    </row>
    <row r="153" spans="1:5" x14ac:dyDescent="0.35">
      <c r="A153" s="1" t="s">
        <v>5</v>
      </c>
      <c r="B153" s="2">
        <v>46077</v>
      </c>
      <c r="C153">
        <v>15</v>
      </c>
      <c r="D153">
        <v>2</v>
      </c>
      <c r="E153">
        <v>336.41</v>
      </c>
    </row>
    <row r="154" spans="1:5" x14ac:dyDescent="0.35">
      <c r="A154" s="1" t="s">
        <v>10</v>
      </c>
      <c r="B154" s="2">
        <v>46059</v>
      </c>
      <c r="C154">
        <v>32</v>
      </c>
      <c r="D154">
        <v>13</v>
      </c>
      <c r="E154">
        <v>185.48</v>
      </c>
    </row>
    <row r="155" spans="1:5" x14ac:dyDescent="0.35">
      <c r="A155" s="1" t="s">
        <v>9</v>
      </c>
      <c r="B155" s="2">
        <v>46083</v>
      </c>
      <c r="C155">
        <v>81</v>
      </c>
      <c r="D155">
        <v>72</v>
      </c>
      <c r="E155">
        <v>83.8</v>
      </c>
    </row>
    <row r="156" spans="1:5" x14ac:dyDescent="0.35">
      <c r="A156" s="1" t="s">
        <v>9</v>
      </c>
      <c r="B156" s="2">
        <v>46068</v>
      </c>
      <c r="C156">
        <v>53</v>
      </c>
      <c r="D156">
        <v>38</v>
      </c>
      <c r="E156">
        <v>259.72000000000003</v>
      </c>
    </row>
    <row r="157" spans="1:5" x14ac:dyDescent="0.35">
      <c r="A157" s="1" t="s">
        <v>10</v>
      </c>
      <c r="B157" s="2">
        <v>46076</v>
      </c>
      <c r="C157">
        <v>43</v>
      </c>
      <c r="D157">
        <v>24</v>
      </c>
      <c r="E157">
        <v>143.22999999999999</v>
      </c>
    </row>
    <row r="158" spans="1:5" x14ac:dyDescent="0.35">
      <c r="A158" s="1" t="s">
        <v>7</v>
      </c>
      <c r="B158" s="2">
        <v>46070</v>
      </c>
      <c r="C158">
        <v>14</v>
      </c>
      <c r="D158">
        <v>5</v>
      </c>
      <c r="E158">
        <v>451.97</v>
      </c>
    </row>
    <row r="159" spans="1:5" x14ac:dyDescent="0.35">
      <c r="A159" s="1" t="s">
        <v>8</v>
      </c>
      <c r="B159" s="2">
        <v>46057</v>
      </c>
      <c r="C159">
        <v>82</v>
      </c>
      <c r="D159">
        <v>23</v>
      </c>
      <c r="E159">
        <v>361.46</v>
      </c>
    </row>
    <row r="160" spans="1:5" x14ac:dyDescent="0.35">
      <c r="A160" s="1" t="s">
        <v>9</v>
      </c>
      <c r="B160" s="2">
        <v>46062</v>
      </c>
      <c r="C160">
        <v>17</v>
      </c>
      <c r="D160">
        <v>1</v>
      </c>
      <c r="E160">
        <v>52.07</v>
      </c>
    </row>
    <row r="161" spans="1:5" x14ac:dyDescent="0.35">
      <c r="A161" s="1" t="s">
        <v>6</v>
      </c>
      <c r="B161" s="2">
        <v>46056</v>
      </c>
      <c r="C161">
        <v>38</v>
      </c>
      <c r="D161">
        <v>29</v>
      </c>
      <c r="E161">
        <v>354.18</v>
      </c>
    </row>
    <row r="162" spans="1:5" x14ac:dyDescent="0.35">
      <c r="A162" s="1" t="s">
        <v>6</v>
      </c>
      <c r="B162" s="2">
        <v>46067</v>
      </c>
      <c r="C162">
        <v>85</v>
      </c>
      <c r="D162">
        <v>47</v>
      </c>
      <c r="E162">
        <v>133.94</v>
      </c>
    </row>
    <row r="163" spans="1:5" x14ac:dyDescent="0.35">
      <c r="A163" s="1" t="s">
        <v>5</v>
      </c>
      <c r="B163" s="2">
        <v>46056</v>
      </c>
      <c r="C163">
        <v>62</v>
      </c>
      <c r="D163">
        <v>24</v>
      </c>
      <c r="E163">
        <v>497.49</v>
      </c>
    </row>
    <row r="164" spans="1:5" x14ac:dyDescent="0.35">
      <c r="A164" s="1" t="s">
        <v>6</v>
      </c>
      <c r="B164" s="2">
        <v>46057</v>
      </c>
      <c r="C164">
        <v>75</v>
      </c>
      <c r="D164">
        <v>10</v>
      </c>
      <c r="E164">
        <v>267.83</v>
      </c>
    </row>
    <row r="165" spans="1:5" x14ac:dyDescent="0.35">
      <c r="A165" s="1" t="s">
        <v>7</v>
      </c>
      <c r="B165" s="2">
        <v>46077</v>
      </c>
      <c r="C165">
        <v>49</v>
      </c>
      <c r="D165">
        <v>12</v>
      </c>
      <c r="E165">
        <v>179.42</v>
      </c>
    </row>
    <row r="166" spans="1:5" x14ac:dyDescent="0.35">
      <c r="A166" s="1" t="s">
        <v>6</v>
      </c>
      <c r="B166" s="2">
        <v>46065</v>
      </c>
      <c r="C166">
        <v>20</v>
      </c>
      <c r="D166">
        <v>19</v>
      </c>
      <c r="E166">
        <v>85.7</v>
      </c>
    </row>
    <row r="167" spans="1:5" x14ac:dyDescent="0.35">
      <c r="A167" s="1" t="s">
        <v>6</v>
      </c>
      <c r="B167" s="2">
        <v>46073</v>
      </c>
      <c r="C167">
        <v>99</v>
      </c>
      <c r="D167">
        <v>24</v>
      </c>
      <c r="E167">
        <v>192.23</v>
      </c>
    </row>
    <row r="168" spans="1:5" x14ac:dyDescent="0.35">
      <c r="A168" s="1" t="s">
        <v>10</v>
      </c>
      <c r="B168" s="2">
        <v>46073</v>
      </c>
      <c r="C168">
        <v>30</v>
      </c>
      <c r="D168">
        <v>29</v>
      </c>
      <c r="E168">
        <v>354.09</v>
      </c>
    </row>
    <row r="169" spans="1:5" x14ac:dyDescent="0.35">
      <c r="A169" s="1" t="s">
        <v>9</v>
      </c>
      <c r="B169" s="2">
        <v>46075</v>
      </c>
      <c r="C169">
        <v>49</v>
      </c>
      <c r="D169">
        <v>49</v>
      </c>
      <c r="E169">
        <v>176.51</v>
      </c>
    </row>
    <row r="170" spans="1:5" x14ac:dyDescent="0.35">
      <c r="A170" s="1" t="s">
        <v>8</v>
      </c>
      <c r="B170" s="2">
        <v>46053</v>
      </c>
      <c r="C170">
        <v>16</v>
      </c>
      <c r="D170">
        <v>6</v>
      </c>
      <c r="E170">
        <v>178.77</v>
      </c>
    </row>
    <row r="171" spans="1:5" x14ac:dyDescent="0.35">
      <c r="A171" s="1" t="s">
        <v>6</v>
      </c>
      <c r="B171" s="2">
        <v>46069</v>
      </c>
      <c r="C171">
        <v>79</v>
      </c>
      <c r="D171">
        <v>68</v>
      </c>
      <c r="E171">
        <v>431.24</v>
      </c>
    </row>
    <row r="172" spans="1:5" x14ac:dyDescent="0.35">
      <c r="A172" s="1" t="s">
        <v>6</v>
      </c>
      <c r="B172" s="2">
        <v>46069</v>
      </c>
      <c r="C172">
        <v>45</v>
      </c>
      <c r="D172">
        <v>7</v>
      </c>
      <c r="E172">
        <v>329.63</v>
      </c>
    </row>
    <row r="173" spans="1:5" x14ac:dyDescent="0.35">
      <c r="A173" s="1" t="s">
        <v>5</v>
      </c>
      <c r="B173" s="2">
        <v>46071</v>
      </c>
      <c r="C173">
        <v>62</v>
      </c>
      <c r="D173">
        <v>14</v>
      </c>
      <c r="E173">
        <v>288.85000000000002</v>
      </c>
    </row>
    <row r="174" spans="1:5" x14ac:dyDescent="0.35">
      <c r="A174" s="1" t="s">
        <v>7</v>
      </c>
      <c r="B174" s="2">
        <v>46082</v>
      </c>
      <c r="C174">
        <v>56</v>
      </c>
      <c r="D174">
        <v>14</v>
      </c>
      <c r="E174">
        <v>59.13</v>
      </c>
    </row>
    <row r="175" spans="1:5" x14ac:dyDescent="0.35">
      <c r="A175" s="1" t="s">
        <v>9</v>
      </c>
      <c r="B175" s="2">
        <v>46073</v>
      </c>
      <c r="C175">
        <v>72</v>
      </c>
      <c r="D175">
        <v>46</v>
      </c>
      <c r="E175">
        <v>321.89</v>
      </c>
    </row>
    <row r="176" spans="1:5" x14ac:dyDescent="0.35">
      <c r="A176" s="1" t="s">
        <v>8</v>
      </c>
      <c r="B176" s="2">
        <v>46062</v>
      </c>
      <c r="C176">
        <v>12</v>
      </c>
      <c r="D176">
        <v>6</v>
      </c>
      <c r="E176">
        <v>105.83</v>
      </c>
    </row>
    <row r="177" spans="1:5" x14ac:dyDescent="0.35">
      <c r="A177" s="1" t="s">
        <v>9</v>
      </c>
      <c r="B177" s="2">
        <v>46055</v>
      </c>
      <c r="C177">
        <v>65</v>
      </c>
      <c r="D177">
        <v>13</v>
      </c>
      <c r="E177">
        <v>376.59</v>
      </c>
    </row>
    <row r="178" spans="1:5" x14ac:dyDescent="0.35">
      <c r="A178" s="1" t="s">
        <v>9</v>
      </c>
      <c r="B178" s="2">
        <v>46060</v>
      </c>
      <c r="C178">
        <v>41</v>
      </c>
      <c r="D178">
        <v>30</v>
      </c>
      <c r="E178">
        <v>150.69999999999999</v>
      </c>
    </row>
    <row r="179" spans="1:5" x14ac:dyDescent="0.35">
      <c r="A179" s="1" t="s">
        <v>5</v>
      </c>
      <c r="B179" s="2">
        <v>46081</v>
      </c>
      <c r="C179">
        <v>93</v>
      </c>
      <c r="D179">
        <v>83</v>
      </c>
      <c r="E179">
        <v>245.94</v>
      </c>
    </row>
    <row r="180" spans="1:5" x14ac:dyDescent="0.35">
      <c r="A180" s="1" t="s">
        <v>10</v>
      </c>
      <c r="B180" s="2">
        <v>46067</v>
      </c>
      <c r="C180">
        <v>50</v>
      </c>
      <c r="D180">
        <v>17</v>
      </c>
      <c r="E180">
        <v>400.09</v>
      </c>
    </row>
    <row r="181" spans="1:5" x14ac:dyDescent="0.35">
      <c r="A181" s="1" t="s">
        <v>8</v>
      </c>
      <c r="B181" s="2">
        <v>46062</v>
      </c>
      <c r="C181">
        <v>59</v>
      </c>
      <c r="D181">
        <v>34</v>
      </c>
      <c r="E181">
        <v>219.23</v>
      </c>
    </row>
    <row r="182" spans="1:5" x14ac:dyDescent="0.35">
      <c r="A182" s="1" t="s">
        <v>9</v>
      </c>
      <c r="B182" s="2">
        <v>46080</v>
      </c>
      <c r="C182">
        <v>84</v>
      </c>
      <c r="D182">
        <v>73</v>
      </c>
      <c r="E182">
        <v>486.79</v>
      </c>
    </row>
    <row r="183" spans="1:5" x14ac:dyDescent="0.35">
      <c r="A183" s="1" t="s">
        <v>6</v>
      </c>
      <c r="B183" s="2">
        <v>46082</v>
      </c>
      <c r="C183">
        <v>59</v>
      </c>
      <c r="D183">
        <v>15</v>
      </c>
      <c r="E183">
        <v>243.59</v>
      </c>
    </row>
    <row r="184" spans="1:5" x14ac:dyDescent="0.35">
      <c r="A184" s="1" t="s">
        <v>7</v>
      </c>
      <c r="B184" s="2">
        <v>46082</v>
      </c>
      <c r="C184">
        <v>37</v>
      </c>
      <c r="D184">
        <v>11</v>
      </c>
      <c r="E184">
        <v>324.88</v>
      </c>
    </row>
    <row r="185" spans="1:5" x14ac:dyDescent="0.35">
      <c r="A185" s="1" t="s">
        <v>6</v>
      </c>
      <c r="B185" s="2">
        <v>46080</v>
      </c>
      <c r="C185">
        <v>54</v>
      </c>
      <c r="D185">
        <v>15</v>
      </c>
      <c r="E185">
        <v>352.88</v>
      </c>
    </row>
    <row r="186" spans="1:5" x14ac:dyDescent="0.35">
      <c r="A186" s="1" t="s">
        <v>7</v>
      </c>
      <c r="B186" s="2">
        <v>46075</v>
      </c>
      <c r="C186">
        <v>36</v>
      </c>
      <c r="D186">
        <v>27</v>
      </c>
      <c r="E186">
        <v>277.63</v>
      </c>
    </row>
    <row r="187" spans="1:5" x14ac:dyDescent="0.35">
      <c r="A187" s="1" t="s">
        <v>9</v>
      </c>
      <c r="B187" s="2">
        <v>46063</v>
      </c>
      <c r="C187">
        <v>76</v>
      </c>
      <c r="D187">
        <v>41</v>
      </c>
      <c r="E187">
        <v>355.39</v>
      </c>
    </row>
    <row r="188" spans="1:5" x14ac:dyDescent="0.35">
      <c r="A188" s="1" t="s">
        <v>8</v>
      </c>
      <c r="B188" s="2">
        <v>46072</v>
      </c>
      <c r="C188">
        <v>31</v>
      </c>
      <c r="D188">
        <v>23</v>
      </c>
      <c r="E188">
        <v>353.58</v>
      </c>
    </row>
    <row r="189" spans="1:5" x14ac:dyDescent="0.35">
      <c r="A189" s="1" t="s">
        <v>8</v>
      </c>
      <c r="B189" s="2">
        <v>46073</v>
      </c>
      <c r="C189">
        <v>42</v>
      </c>
      <c r="D189">
        <v>8</v>
      </c>
      <c r="E189">
        <v>121.91</v>
      </c>
    </row>
    <row r="190" spans="1:5" x14ac:dyDescent="0.35">
      <c r="A190" s="1" t="s">
        <v>6</v>
      </c>
      <c r="B190" s="2">
        <v>46079</v>
      </c>
      <c r="C190">
        <v>63</v>
      </c>
      <c r="D190">
        <v>63</v>
      </c>
      <c r="E190">
        <v>466.04</v>
      </c>
    </row>
    <row r="191" spans="1:5" x14ac:dyDescent="0.35">
      <c r="A191" s="1" t="s">
        <v>8</v>
      </c>
      <c r="B191" s="2">
        <v>46061</v>
      </c>
      <c r="C191">
        <v>33</v>
      </c>
      <c r="D191">
        <v>24</v>
      </c>
      <c r="E191">
        <v>199.71</v>
      </c>
    </row>
    <row r="192" spans="1:5" x14ac:dyDescent="0.35">
      <c r="A192" s="1" t="s">
        <v>5</v>
      </c>
      <c r="B192" s="2">
        <v>46076</v>
      </c>
      <c r="C192">
        <v>74</v>
      </c>
      <c r="D192">
        <v>62</v>
      </c>
      <c r="E192">
        <v>196.28</v>
      </c>
    </row>
    <row r="193" spans="1:5" x14ac:dyDescent="0.35">
      <c r="A193" s="1" t="s">
        <v>9</v>
      </c>
      <c r="B193" s="2">
        <v>46058</v>
      </c>
      <c r="C193">
        <v>67</v>
      </c>
      <c r="D193">
        <v>7</v>
      </c>
      <c r="E193">
        <v>172.8</v>
      </c>
    </row>
    <row r="194" spans="1:5" x14ac:dyDescent="0.35">
      <c r="A194" s="1" t="s">
        <v>7</v>
      </c>
      <c r="B194" s="2">
        <v>46060</v>
      </c>
      <c r="C194">
        <v>59</v>
      </c>
      <c r="D194">
        <v>23</v>
      </c>
      <c r="E194">
        <v>272.95</v>
      </c>
    </row>
    <row r="195" spans="1:5" x14ac:dyDescent="0.35">
      <c r="A195" s="1" t="s">
        <v>7</v>
      </c>
      <c r="B195" s="2">
        <v>46055</v>
      </c>
      <c r="C195">
        <v>53</v>
      </c>
      <c r="D195">
        <v>0</v>
      </c>
      <c r="E195">
        <v>427.86</v>
      </c>
    </row>
    <row r="196" spans="1:5" x14ac:dyDescent="0.35">
      <c r="A196" s="1" t="s">
        <v>8</v>
      </c>
      <c r="B196" s="2">
        <v>46072</v>
      </c>
      <c r="C196">
        <v>20</v>
      </c>
      <c r="D196">
        <v>1</v>
      </c>
      <c r="E196">
        <v>110.36</v>
      </c>
    </row>
    <row r="197" spans="1:5" x14ac:dyDescent="0.35">
      <c r="A197" s="1" t="s">
        <v>5</v>
      </c>
      <c r="B197" s="2">
        <v>46069</v>
      </c>
      <c r="C197">
        <v>98</v>
      </c>
      <c r="D197">
        <v>79</v>
      </c>
      <c r="E197">
        <v>278.62</v>
      </c>
    </row>
    <row r="198" spans="1:5" x14ac:dyDescent="0.35">
      <c r="A198" s="1" t="s">
        <v>5</v>
      </c>
      <c r="B198" s="2">
        <v>46082</v>
      </c>
      <c r="C198">
        <v>53</v>
      </c>
      <c r="D198">
        <v>14</v>
      </c>
      <c r="E198">
        <v>78.12</v>
      </c>
    </row>
    <row r="199" spans="1:5" x14ac:dyDescent="0.35">
      <c r="A199" s="1" t="s">
        <v>8</v>
      </c>
      <c r="B199" s="2">
        <v>46078</v>
      </c>
      <c r="C199">
        <v>59</v>
      </c>
      <c r="D199">
        <v>1</v>
      </c>
      <c r="E199">
        <v>334.16</v>
      </c>
    </row>
    <row r="200" spans="1:5" x14ac:dyDescent="0.35">
      <c r="A200" s="1" t="s">
        <v>7</v>
      </c>
      <c r="B200" s="2">
        <v>46053</v>
      </c>
      <c r="C200">
        <v>42</v>
      </c>
      <c r="D200">
        <v>13</v>
      </c>
      <c r="E200">
        <v>109.56</v>
      </c>
    </row>
    <row r="201" spans="1:5" x14ac:dyDescent="0.35">
      <c r="A201" s="1" t="s">
        <v>5</v>
      </c>
      <c r="B201" s="2">
        <v>46081</v>
      </c>
      <c r="C201">
        <v>81</v>
      </c>
      <c r="D201">
        <v>69</v>
      </c>
      <c r="E201">
        <v>358.68</v>
      </c>
    </row>
    <row r="202" spans="1:5" x14ac:dyDescent="0.35">
      <c r="A202" s="1" t="s">
        <v>8</v>
      </c>
      <c r="B202" s="2">
        <v>46081</v>
      </c>
      <c r="C202">
        <v>71</v>
      </c>
      <c r="D202">
        <v>42</v>
      </c>
      <c r="E202">
        <v>188.5</v>
      </c>
    </row>
    <row r="203" spans="1:5" x14ac:dyDescent="0.35">
      <c r="A203" s="1" t="s">
        <v>10</v>
      </c>
      <c r="B203" s="2">
        <v>46076</v>
      </c>
      <c r="C203">
        <v>65</v>
      </c>
      <c r="D203">
        <v>18</v>
      </c>
      <c r="E203">
        <v>88.85</v>
      </c>
    </row>
    <row r="204" spans="1:5" x14ac:dyDescent="0.35">
      <c r="A204" s="1" t="s">
        <v>7</v>
      </c>
      <c r="B204" s="2">
        <v>46058</v>
      </c>
      <c r="C204">
        <v>16</v>
      </c>
      <c r="D204">
        <v>16</v>
      </c>
      <c r="E204">
        <v>340.79</v>
      </c>
    </row>
    <row r="205" spans="1:5" x14ac:dyDescent="0.35">
      <c r="A205" s="1" t="s">
        <v>6</v>
      </c>
      <c r="B205" s="2">
        <v>46055</v>
      </c>
      <c r="C205">
        <v>64</v>
      </c>
      <c r="D205">
        <v>11</v>
      </c>
      <c r="E205">
        <v>66.64</v>
      </c>
    </row>
    <row r="206" spans="1:5" x14ac:dyDescent="0.35">
      <c r="A206" s="1" t="s">
        <v>10</v>
      </c>
      <c r="B206" s="2">
        <v>46056</v>
      </c>
      <c r="C206">
        <v>81</v>
      </c>
      <c r="D206">
        <v>5</v>
      </c>
      <c r="E206">
        <v>355.34</v>
      </c>
    </row>
    <row r="207" spans="1:5" x14ac:dyDescent="0.35">
      <c r="A207" s="1" t="s">
        <v>7</v>
      </c>
      <c r="B207" s="2">
        <v>46068</v>
      </c>
      <c r="C207">
        <v>24</v>
      </c>
      <c r="D207">
        <v>12</v>
      </c>
      <c r="E207">
        <v>304.48</v>
      </c>
    </row>
    <row r="208" spans="1:5" x14ac:dyDescent="0.35">
      <c r="A208" s="1" t="s">
        <v>8</v>
      </c>
      <c r="B208" s="2">
        <v>46075</v>
      </c>
      <c r="C208">
        <v>95</v>
      </c>
      <c r="D208">
        <v>6</v>
      </c>
      <c r="E208">
        <v>182.53</v>
      </c>
    </row>
    <row r="209" spans="1:5" x14ac:dyDescent="0.35">
      <c r="A209" s="1" t="s">
        <v>6</v>
      </c>
      <c r="B209" s="2">
        <v>46072</v>
      </c>
      <c r="C209">
        <v>62</v>
      </c>
      <c r="D209">
        <v>6</v>
      </c>
      <c r="E209">
        <v>100.91</v>
      </c>
    </row>
    <row r="210" spans="1:5" x14ac:dyDescent="0.35">
      <c r="A210" s="1" t="s">
        <v>9</v>
      </c>
      <c r="B210" s="2">
        <v>46079</v>
      </c>
      <c r="C210">
        <v>16</v>
      </c>
      <c r="D210">
        <v>16</v>
      </c>
      <c r="E210">
        <v>318.52</v>
      </c>
    </row>
    <row r="211" spans="1:5" x14ac:dyDescent="0.35">
      <c r="A211" s="1" t="s">
        <v>6</v>
      </c>
      <c r="B211" s="2">
        <v>46054</v>
      </c>
      <c r="C211">
        <v>37</v>
      </c>
      <c r="D211">
        <v>15</v>
      </c>
      <c r="E211">
        <v>416.18</v>
      </c>
    </row>
    <row r="212" spans="1:5" x14ac:dyDescent="0.35">
      <c r="A212" s="1" t="s">
        <v>9</v>
      </c>
      <c r="B212" s="2">
        <v>46079</v>
      </c>
      <c r="C212">
        <v>53</v>
      </c>
      <c r="D212">
        <v>14</v>
      </c>
      <c r="E212">
        <v>377.51</v>
      </c>
    </row>
    <row r="213" spans="1:5" x14ac:dyDescent="0.35">
      <c r="A213" s="1" t="s">
        <v>5</v>
      </c>
      <c r="B213" s="2">
        <v>46065</v>
      </c>
      <c r="C213">
        <v>60</v>
      </c>
      <c r="D213">
        <v>35</v>
      </c>
      <c r="E213">
        <v>482.01</v>
      </c>
    </row>
    <row r="214" spans="1:5" x14ac:dyDescent="0.35">
      <c r="A214" s="1" t="s">
        <v>7</v>
      </c>
      <c r="B214" s="2">
        <v>46054</v>
      </c>
      <c r="C214">
        <v>89</v>
      </c>
      <c r="D214">
        <v>65</v>
      </c>
      <c r="E214">
        <v>178.44</v>
      </c>
    </row>
    <row r="215" spans="1:5" x14ac:dyDescent="0.35">
      <c r="A215" s="1" t="s">
        <v>9</v>
      </c>
      <c r="B215" s="2">
        <v>46065</v>
      </c>
      <c r="C215">
        <v>37</v>
      </c>
      <c r="D215">
        <v>16</v>
      </c>
      <c r="E215">
        <v>97.76</v>
      </c>
    </row>
    <row r="216" spans="1:5" x14ac:dyDescent="0.35">
      <c r="A216" s="1" t="s">
        <v>5</v>
      </c>
      <c r="B216" s="2">
        <v>46064</v>
      </c>
      <c r="C216">
        <v>92</v>
      </c>
      <c r="D216">
        <v>30</v>
      </c>
      <c r="E216">
        <v>316.37</v>
      </c>
    </row>
    <row r="217" spans="1:5" x14ac:dyDescent="0.35">
      <c r="A217" s="1" t="s">
        <v>5</v>
      </c>
      <c r="B217" s="2">
        <v>46055</v>
      </c>
      <c r="C217">
        <v>68</v>
      </c>
      <c r="D217">
        <v>35</v>
      </c>
      <c r="E217">
        <v>180.68</v>
      </c>
    </row>
    <row r="218" spans="1:5" x14ac:dyDescent="0.35">
      <c r="A218" s="1" t="s">
        <v>10</v>
      </c>
      <c r="B218" s="2">
        <v>46054</v>
      </c>
      <c r="C218">
        <v>56</v>
      </c>
      <c r="D218">
        <v>7</v>
      </c>
      <c r="E218">
        <v>170.43</v>
      </c>
    </row>
    <row r="219" spans="1:5" x14ac:dyDescent="0.35">
      <c r="A219" s="1" t="s">
        <v>10</v>
      </c>
      <c r="B219" s="2">
        <v>46069</v>
      </c>
      <c r="C219">
        <v>29</v>
      </c>
      <c r="D219">
        <v>3</v>
      </c>
      <c r="E219">
        <v>77.13</v>
      </c>
    </row>
    <row r="220" spans="1:5" x14ac:dyDescent="0.35">
      <c r="A220" s="1" t="s">
        <v>7</v>
      </c>
      <c r="B220" s="2">
        <v>46076</v>
      </c>
      <c r="C220">
        <v>40</v>
      </c>
      <c r="D220">
        <v>39</v>
      </c>
      <c r="E220">
        <v>290.69</v>
      </c>
    </row>
    <row r="221" spans="1:5" x14ac:dyDescent="0.35">
      <c r="A221" s="1" t="s">
        <v>6</v>
      </c>
      <c r="B221" s="2">
        <v>46074</v>
      </c>
      <c r="C221">
        <v>43</v>
      </c>
      <c r="D221">
        <v>36</v>
      </c>
      <c r="E221">
        <v>263.11</v>
      </c>
    </row>
    <row r="222" spans="1:5" x14ac:dyDescent="0.35">
      <c r="A222" s="1" t="s">
        <v>7</v>
      </c>
      <c r="B222" s="2">
        <v>46066</v>
      </c>
      <c r="C222">
        <v>87</v>
      </c>
      <c r="D222">
        <v>79</v>
      </c>
      <c r="E222">
        <v>156.19</v>
      </c>
    </row>
    <row r="223" spans="1:5" x14ac:dyDescent="0.35">
      <c r="A223" s="1" t="s">
        <v>7</v>
      </c>
      <c r="B223" s="2">
        <v>46071</v>
      </c>
      <c r="C223">
        <v>28</v>
      </c>
      <c r="D223">
        <v>20</v>
      </c>
      <c r="E223">
        <v>336.64</v>
      </c>
    </row>
    <row r="224" spans="1:5" x14ac:dyDescent="0.35">
      <c r="A224" s="1" t="s">
        <v>9</v>
      </c>
      <c r="B224" s="2">
        <v>46063</v>
      </c>
      <c r="C224">
        <v>31</v>
      </c>
      <c r="D224">
        <v>8</v>
      </c>
      <c r="E224">
        <v>379.3</v>
      </c>
    </row>
    <row r="225" spans="1:5" x14ac:dyDescent="0.35">
      <c r="A225" s="1" t="s">
        <v>9</v>
      </c>
      <c r="B225" s="2">
        <v>46059</v>
      </c>
      <c r="C225">
        <v>58</v>
      </c>
      <c r="D225">
        <v>29</v>
      </c>
      <c r="E225">
        <v>290.83</v>
      </c>
    </row>
    <row r="226" spans="1:5" x14ac:dyDescent="0.35">
      <c r="A226" s="1" t="s">
        <v>5</v>
      </c>
      <c r="B226" s="2">
        <v>46054</v>
      </c>
      <c r="C226">
        <v>60</v>
      </c>
      <c r="D226">
        <v>44</v>
      </c>
      <c r="E226">
        <v>420.72</v>
      </c>
    </row>
    <row r="227" spans="1:5" x14ac:dyDescent="0.35">
      <c r="A227" s="1" t="s">
        <v>8</v>
      </c>
      <c r="B227" s="2">
        <v>46063</v>
      </c>
      <c r="C227">
        <v>90</v>
      </c>
      <c r="D227">
        <v>31</v>
      </c>
      <c r="E227">
        <v>296.10000000000002</v>
      </c>
    </row>
    <row r="228" spans="1:5" x14ac:dyDescent="0.35">
      <c r="A228" s="1" t="s">
        <v>6</v>
      </c>
      <c r="B228" s="2">
        <v>46055</v>
      </c>
      <c r="C228">
        <v>50</v>
      </c>
      <c r="D228">
        <v>27</v>
      </c>
      <c r="E228">
        <v>294.13</v>
      </c>
    </row>
    <row r="229" spans="1:5" x14ac:dyDescent="0.35">
      <c r="A229" s="1" t="s">
        <v>5</v>
      </c>
      <c r="B229" s="2">
        <v>46070</v>
      </c>
      <c r="C229">
        <v>62</v>
      </c>
      <c r="D229">
        <v>47</v>
      </c>
      <c r="E229">
        <v>345.72</v>
      </c>
    </row>
    <row r="230" spans="1:5" x14ac:dyDescent="0.35">
      <c r="A230" s="1" t="s">
        <v>7</v>
      </c>
      <c r="B230" s="2">
        <v>46072</v>
      </c>
      <c r="C230">
        <v>26</v>
      </c>
      <c r="D230">
        <v>20</v>
      </c>
      <c r="E230">
        <v>397.43</v>
      </c>
    </row>
    <row r="231" spans="1:5" x14ac:dyDescent="0.35">
      <c r="A231" s="1" t="s">
        <v>6</v>
      </c>
      <c r="B231" s="2">
        <v>46056</v>
      </c>
      <c r="C231">
        <v>43</v>
      </c>
      <c r="D231">
        <v>16</v>
      </c>
      <c r="E231">
        <v>113.4</v>
      </c>
    </row>
    <row r="232" spans="1:5" x14ac:dyDescent="0.35">
      <c r="A232" s="1" t="s">
        <v>10</v>
      </c>
      <c r="B232" s="2">
        <v>46079</v>
      </c>
      <c r="C232">
        <v>62</v>
      </c>
      <c r="D232">
        <v>28</v>
      </c>
      <c r="E232">
        <v>316.27</v>
      </c>
    </row>
    <row r="233" spans="1:5" x14ac:dyDescent="0.35">
      <c r="A233" s="1" t="s">
        <v>10</v>
      </c>
      <c r="B233" s="2">
        <v>46073</v>
      </c>
      <c r="C233">
        <v>89</v>
      </c>
      <c r="D233">
        <v>70</v>
      </c>
      <c r="E233">
        <v>143.16999999999999</v>
      </c>
    </row>
    <row r="234" spans="1:5" x14ac:dyDescent="0.35">
      <c r="A234" s="1" t="s">
        <v>9</v>
      </c>
      <c r="B234" s="2">
        <v>46062</v>
      </c>
      <c r="C234">
        <v>54</v>
      </c>
      <c r="D234">
        <v>40</v>
      </c>
      <c r="E234">
        <v>326.92</v>
      </c>
    </row>
    <row r="235" spans="1:5" x14ac:dyDescent="0.35">
      <c r="A235" s="1" t="s">
        <v>9</v>
      </c>
      <c r="B235" s="2">
        <v>46060</v>
      </c>
      <c r="C235">
        <v>15</v>
      </c>
      <c r="D235">
        <v>4</v>
      </c>
      <c r="E235">
        <v>165.8</v>
      </c>
    </row>
    <row r="236" spans="1:5" x14ac:dyDescent="0.35">
      <c r="A236" s="1" t="s">
        <v>7</v>
      </c>
      <c r="B236" s="2">
        <v>46068</v>
      </c>
      <c r="C236">
        <v>42</v>
      </c>
      <c r="D236">
        <v>6</v>
      </c>
      <c r="E236">
        <v>109.06</v>
      </c>
    </row>
    <row r="237" spans="1:5" x14ac:dyDescent="0.35">
      <c r="A237" s="1" t="s">
        <v>7</v>
      </c>
      <c r="B237" s="2">
        <v>46069</v>
      </c>
      <c r="C237">
        <v>69</v>
      </c>
      <c r="D237">
        <v>28</v>
      </c>
      <c r="E237">
        <v>406.45</v>
      </c>
    </row>
    <row r="238" spans="1:5" x14ac:dyDescent="0.35">
      <c r="A238" s="1" t="s">
        <v>5</v>
      </c>
      <c r="B238" s="2">
        <v>46079</v>
      </c>
      <c r="C238">
        <v>56</v>
      </c>
      <c r="D238">
        <v>52</v>
      </c>
      <c r="E238">
        <v>402.43</v>
      </c>
    </row>
    <row r="239" spans="1:5" x14ac:dyDescent="0.35">
      <c r="A239" s="1" t="s">
        <v>7</v>
      </c>
      <c r="B239" s="2">
        <v>46065</v>
      </c>
      <c r="C239">
        <v>62</v>
      </c>
      <c r="D239">
        <v>10</v>
      </c>
      <c r="E239">
        <v>463.38</v>
      </c>
    </row>
    <row r="240" spans="1:5" x14ac:dyDescent="0.35">
      <c r="A240" s="1" t="s">
        <v>5</v>
      </c>
      <c r="B240" s="2">
        <v>46070</v>
      </c>
      <c r="C240">
        <v>46</v>
      </c>
      <c r="D240">
        <v>9</v>
      </c>
      <c r="E240">
        <v>496.26</v>
      </c>
    </row>
    <row r="241" spans="1:5" x14ac:dyDescent="0.35">
      <c r="A241" s="1" t="s">
        <v>8</v>
      </c>
      <c r="B241" s="2">
        <v>46066</v>
      </c>
      <c r="C241">
        <v>25</v>
      </c>
      <c r="D241">
        <v>19</v>
      </c>
      <c r="E241">
        <v>327.73</v>
      </c>
    </row>
    <row r="242" spans="1:5" x14ac:dyDescent="0.35">
      <c r="A242" s="1" t="s">
        <v>8</v>
      </c>
      <c r="B242" s="2">
        <v>46083</v>
      </c>
      <c r="C242">
        <v>47</v>
      </c>
      <c r="D242">
        <v>46</v>
      </c>
      <c r="E242">
        <v>481.65</v>
      </c>
    </row>
    <row r="243" spans="1:5" x14ac:dyDescent="0.35">
      <c r="A243" s="1" t="s">
        <v>6</v>
      </c>
      <c r="B243" s="2">
        <v>46067</v>
      </c>
      <c r="C243">
        <v>86</v>
      </c>
      <c r="D243">
        <v>66</v>
      </c>
      <c r="E243">
        <v>313.45999999999998</v>
      </c>
    </row>
    <row r="244" spans="1:5" x14ac:dyDescent="0.35">
      <c r="A244" s="1" t="s">
        <v>5</v>
      </c>
      <c r="B244" s="2">
        <v>46083</v>
      </c>
      <c r="C244">
        <v>19</v>
      </c>
      <c r="D244">
        <v>3</v>
      </c>
      <c r="E244">
        <v>275.20999999999998</v>
      </c>
    </row>
    <row r="245" spans="1:5" x14ac:dyDescent="0.35">
      <c r="A245" s="1" t="s">
        <v>6</v>
      </c>
      <c r="B245" s="2">
        <v>46081</v>
      </c>
      <c r="C245">
        <v>82</v>
      </c>
      <c r="D245">
        <v>10</v>
      </c>
      <c r="E245">
        <v>341.55</v>
      </c>
    </row>
    <row r="246" spans="1:5" x14ac:dyDescent="0.35">
      <c r="A246" s="1" t="s">
        <v>9</v>
      </c>
      <c r="B246" s="2">
        <v>46054</v>
      </c>
      <c r="C246">
        <v>10</v>
      </c>
      <c r="D246">
        <v>4</v>
      </c>
      <c r="E246">
        <v>93.17</v>
      </c>
    </row>
    <row r="247" spans="1:5" x14ac:dyDescent="0.35">
      <c r="A247" s="1" t="s">
        <v>10</v>
      </c>
      <c r="B247" s="2">
        <v>46074</v>
      </c>
      <c r="C247">
        <v>77</v>
      </c>
      <c r="D247">
        <v>14</v>
      </c>
      <c r="E247">
        <v>310.23</v>
      </c>
    </row>
    <row r="248" spans="1:5" x14ac:dyDescent="0.35">
      <c r="A248" s="1" t="s">
        <v>7</v>
      </c>
      <c r="B248" s="2">
        <v>46083</v>
      </c>
      <c r="C248">
        <v>61</v>
      </c>
      <c r="D248">
        <v>5</v>
      </c>
      <c r="E248">
        <v>77.069999999999993</v>
      </c>
    </row>
    <row r="249" spans="1:5" x14ac:dyDescent="0.35">
      <c r="A249" s="1" t="s">
        <v>5</v>
      </c>
      <c r="B249" s="2">
        <v>46061</v>
      </c>
      <c r="C249">
        <v>60</v>
      </c>
      <c r="D249">
        <v>36</v>
      </c>
      <c r="E249">
        <v>220.01</v>
      </c>
    </row>
    <row r="250" spans="1:5" x14ac:dyDescent="0.35">
      <c r="A250" s="1" t="s">
        <v>8</v>
      </c>
      <c r="B250" s="2">
        <v>46082</v>
      </c>
      <c r="C250">
        <v>24</v>
      </c>
      <c r="D250">
        <v>17</v>
      </c>
      <c r="E250">
        <v>295.13</v>
      </c>
    </row>
    <row r="251" spans="1:5" x14ac:dyDescent="0.35">
      <c r="A251" s="1" t="s">
        <v>8</v>
      </c>
      <c r="B251" s="2">
        <v>46071</v>
      </c>
      <c r="C251">
        <v>89</v>
      </c>
      <c r="D251">
        <v>48</v>
      </c>
      <c r="E251">
        <v>66.36</v>
      </c>
    </row>
  </sheetData>
  <sheetProtection algorithmName="SHA-512" hashValue="A+2ABHJ/aMM/fxsq2xy2g4ish+IWvCFt/jzU9WEbZlQmZYvEWoId6qSSDjeshGbfqVy5faHJDe/WvRu17wxBYg==" saltValue="KYGcGkX/Umd+WqITPIAXVQ==" spinCount="100000" sheet="1" objects="1" scenarios="1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C947-74AF-4AD1-B7AC-20586169C8AB}">
  <dimension ref="G1"/>
  <sheetViews>
    <sheetView tabSelected="1" topLeftCell="A4" workbookViewId="0">
      <selection activeCell="G1" sqref="G1"/>
    </sheetView>
  </sheetViews>
  <sheetFormatPr defaultRowHeight="14.5" x14ac:dyDescent="0.35"/>
  <sheetData>
    <row r="1" spans="7:7" x14ac:dyDescent="0.35">
      <c r="G1" t="s">
        <v>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1A0C8-5982-4279-803D-1EAF4057C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Leads by Campaign</vt:lpstr>
      <vt:lpstr>Total Spend by Campain</vt:lpstr>
      <vt:lpstr>marketing_data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Mikey Bronowski</dc:creator>
  <cp:lastModifiedBy>Mikey Bronowski</cp:lastModifiedBy>
  <dcterms:created xsi:type="dcterms:W3CDTF">2026-03-02T21:30:42Z</dcterms:created>
  <dcterms:modified xsi:type="dcterms:W3CDTF">2026-03-02T22:33:00Z</dcterms:modified>
</cp:coreProperties>
</file>